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Sheet0!$A$4:$R$4</definedName>
  </definedNames>
</workbook>
</file>

<file path=xl/sharedStrings.xml><?xml version="1.0" encoding="utf-8"?>
<sst xmlns="http://schemas.openxmlformats.org/spreadsheetml/2006/main" count="3668" uniqueCount="226">
  <si>
    <t>Date consultation</t>
  </si>
  <si>
    <t>Centre</t>
  </si>
  <si>
    <t>Motif</t>
  </si>
  <si>
    <t>Intervenant</t>
  </si>
  <si>
    <t>Fiche</t>
  </si>
  <si>
    <t>Catégorie</t>
  </si>
  <si>
    <t>Sous-catégorie</t>
  </si>
  <si>
    <t>Étudiant</t>
  </si>
  <si>
    <t>nbsi</t>
  </si>
  <si>
    <t>agregat</t>
  </si>
  <si>
    <t>Année inscription</t>
  </si>
  <si>
    <t>Établissement</t>
  </si>
  <si>
    <t>Composante</t>
  </si>
  <si>
    <t>Cycle-Année</t>
  </si>
  <si>
    <t>Section</t>
  </si>
  <si>
    <t>Sexe</t>
  </si>
  <si>
    <t>Âge</t>
  </si>
  <si>
    <t>Nationalité</t>
  </si>
  <si>
    <t xml:space="preserve">SSU - Service de Santé Universitaire </t>
  </si>
  <si>
    <t/>
  </si>
  <si>
    <t>GERBAUD Arthur</t>
  </si>
  <si>
    <t>Motifs psychologiques</t>
  </si>
  <si>
    <t>Difficultés relationnelles</t>
  </si>
  <si>
    <t>Difficultés pour aller vers les autres</t>
  </si>
  <si>
    <t>Université d'Angers</t>
  </si>
  <si>
    <t>UFR Sciences</t>
  </si>
  <si>
    <t>12</t>
  </si>
  <si>
    <t>Licence SVT</t>
  </si>
  <si>
    <t>M</t>
  </si>
  <si>
    <t>FRANCE</t>
  </si>
  <si>
    <t>CASTEL Amélie</t>
  </si>
  <si>
    <t>Problématiques liées à la famille</t>
  </si>
  <si>
    <t>Sans précision</t>
  </si>
  <si>
    <t>UFR Lettres Langues et Sciences Sociales</t>
  </si>
  <si>
    <t>13</t>
  </si>
  <si>
    <t>Licence Psychologie</t>
  </si>
  <si>
    <t>F</t>
  </si>
  <si>
    <t>Psychologie</t>
  </si>
  <si>
    <t>Relations amoureuses et sexualité</t>
  </si>
  <si>
    <t>Vie de couple</t>
  </si>
  <si>
    <t>UFR Sc. Médicales - Département pharmacie</t>
  </si>
  <si>
    <t>31</t>
  </si>
  <si>
    <t>PHARMACIE</t>
  </si>
  <si>
    <t>Troubles de la personnalité</t>
  </si>
  <si>
    <t>Licence LEA</t>
  </si>
  <si>
    <t>MADAGASCAR</t>
  </si>
  <si>
    <t>DECOURRIERE Chantal</t>
  </si>
  <si>
    <t>Psychoses</t>
  </si>
  <si>
    <t>24</t>
  </si>
  <si>
    <t>Master Psycho psychopatho</t>
  </si>
  <si>
    <t>SSU Permanence Faculté de médecine</t>
  </si>
  <si>
    <t>Psychologie || Psychologie</t>
  </si>
  <si>
    <t>Troubles anxieux-dépressifs</t>
  </si>
  <si>
    <t>Variations de l’humeur</t>
  </si>
  <si>
    <t>Les Beaux Arts</t>
  </si>
  <si>
    <t>11</t>
  </si>
  <si>
    <t>1re année Art</t>
  </si>
  <si>
    <t>UFR Droit Economie Gestion</t>
  </si>
  <si>
    <t>22</t>
  </si>
  <si>
    <t>Master Finance</t>
  </si>
  <si>
    <t>Anxiété</t>
  </si>
  <si>
    <t>Licence Droit</t>
  </si>
  <si>
    <t>15</t>
  </si>
  <si>
    <t>THOUMIN Florence</t>
  </si>
  <si>
    <t>14</t>
  </si>
  <si>
    <t>Adaptation à la vie étudiante</t>
  </si>
  <si>
    <t>Orientation</t>
  </si>
  <si>
    <t>Violences sexuelles</t>
  </si>
  <si>
    <t>Violence sexuelle</t>
  </si>
  <si>
    <t>Polytech (ISTIA)</t>
  </si>
  <si>
    <t>23</t>
  </si>
  <si>
    <t>Diplôme ingénieur</t>
  </si>
  <si>
    <t>Master Arts Lettres</t>
  </si>
  <si>
    <t>Vécus traumatiques intrafamiliaux</t>
  </si>
  <si>
    <t>Licence Histoire</t>
  </si>
  <si>
    <t>RONDEAU Jonna</t>
  </si>
  <si>
    <t>Parents psychiatrisés</t>
  </si>
  <si>
    <t>AGRO Campus Ouest</t>
  </si>
  <si>
    <t>Institut Agro Rennes-Angers (AGROCampus Ouest)</t>
  </si>
  <si>
    <t>Difficultés sur lieu de stage</t>
  </si>
  <si>
    <t>UFR Esthua</t>
  </si>
  <si>
    <t>Master Direction projets</t>
  </si>
  <si>
    <t>Rupture</t>
  </si>
  <si>
    <t>_ _</t>
  </si>
  <si>
    <t>Formation approfondie SP</t>
  </si>
  <si>
    <t>Licence LLCER</t>
  </si>
  <si>
    <t>Eléments dépressifs</t>
  </si>
  <si>
    <t>Problèmes de santé de l’étudiant</t>
  </si>
  <si>
    <t>Maladie somatique</t>
  </si>
  <si>
    <t>Licence Économie-Gestion</t>
  </si>
  <si>
    <t>Tourisme</t>
  </si>
  <si>
    <t>Manifestations réactionnelles</t>
  </si>
  <si>
    <t>Accidents</t>
  </si>
  <si>
    <t>Master Archives</t>
  </si>
  <si>
    <t>Secrets familiaux</t>
  </si>
  <si>
    <t>21</t>
  </si>
  <si>
    <t>Viol</t>
  </si>
  <si>
    <t>UFR Sc. Médicales - Département Médecine</t>
  </si>
  <si>
    <t>Formation gén sc médic</t>
  </si>
  <si>
    <t>PENCOLE Marie-France</t>
  </si>
  <si>
    <t>SSU SAUMUR</t>
  </si>
  <si>
    <t>BLANCHARD Laure</t>
  </si>
  <si>
    <t>Antenne UFR ESTHUA - Saumur</t>
  </si>
  <si>
    <t>LP Guide</t>
  </si>
  <si>
    <t>ALGERIE</t>
  </si>
  <si>
    <t>Séparation parentale</t>
  </si>
  <si>
    <t>51</t>
  </si>
  <si>
    <t>39</t>
  </si>
  <si>
    <t>DOCTORAT HISTOIRE</t>
  </si>
  <si>
    <t>Master Maths &amp; Applicat°</t>
  </si>
  <si>
    <t>Master MEEF second degré</t>
  </si>
  <si>
    <t>1e année Art</t>
  </si>
  <si>
    <t>Licence Sciences Santé</t>
  </si>
  <si>
    <t>SSU CHOLET</t>
  </si>
  <si>
    <t>Antenne IUT - Cholet</t>
  </si>
  <si>
    <t>BUT Gest° admin et comm</t>
  </si>
  <si>
    <t>UCO</t>
  </si>
  <si>
    <t>Violences</t>
  </si>
  <si>
    <t>Harcèlement</t>
  </si>
  <si>
    <t>Pression des résultats</t>
  </si>
  <si>
    <t>Licence Sc Techno Santé</t>
  </si>
  <si>
    <t>Licence Lettres</t>
  </si>
  <si>
    <t>Inceste</t>
  </si>
  <si>
    <t>IUT</t>
  </si>
  <si>
    <t>BUT Génie biologique</t>
  </si>
  <si>
    <t>Master Psychologie</t>
  </si>
  <si>
    <t>Crises d’angoisse</t>
  </si>
  <si>
    <t>LP Métiers du tourisme</t>
  </si>
  <si>
    <t>Isolement</t>
  </si>
  <si>
    <t>LP Tour. loisirs sportifs</t>
  </si>
  <si>
    <t>Licence Géographie</t>
  </si>
  <si>
    <t>Antenne UFR Droit - Cholet</t>
  </si>
  <si>
    <t>CAMEROUN</t>
  </si>
  <si>
    <t>Master Éco Appliquée</t>
  </si>
  <si>
    <t>IFORIS CNAM</t>
  </si>
  <si>
    <t>Troubles dissociatifs</t>
  </si>
  <si>
    <t>Deuils</t>
  </si>
  <si>
    <t>Parents malades</t>
  </si>
  <si>
    <t>Licence Mathématiques</t>
  </si>
  <si>
    <t>Névrose grave</t>
  </si>
  <si>
    <t>IAE Management</t>
  </si>
  <si>
    <t>Master Marketing, vente</t>
  </si>
  <si>
    <t>UKRAINE</t>
  </si>
  <si>
    <t>Master MEEF SES</t>
  </si>
  <si>
    <t>Repli sur soi</t>
  </si>
  <si>
    <t>Licence Arts</t>
  </si>
  <si>
    <t>SENEGAL</t>
  </si>
  <si>
    <t>Obsessions / Compulsions</t>
  </si>
  <si>
    <t>Anorexie / TCA</t>
  </si>
  <si>
    <t>Anorexie</t>
  </si>
  <si>
    <t>CONGO</t>
  </si>
  <si>
    <t>Mast Biodiversité Eco Evo</t>
  </si>
  <si>
    <t>Master MEEF 1er degré</t>
  </si>
  <si>
    <t>Ingénieur HEP L2</t>
  </si>
  <si>
    <t>BUT génie électrique</t>
  </si>
  <si>
    <t>Master Droit public</t>
  </si>
  <si>
    <t>BUT Tech de commercialis°</t>
  </si>
  <si>
    <t>Licence Informatique</t>
  </si>
  <si>
    <t>Master Chimie</t>
  </si>
  <si>
    <t>GUINEE</t>
  </si>
  <si>
    <t>UFR Sc. Médicales - Département Pluripass</t>
  </si>
  <si>
    <t>Parcours Spé Accès Santé</t>
  </si>
  <si>
    <t>Formation approf. sc maïe</t>
  </si>
  <si>
    <t>Conflits familiaux</t>
  </si>
  <si>
    <t>Master Biologie Santé</t>
  </si>
  <si>
    <t>Formation approfondie SM</t>
  </si>
  <si>
    <t>LP Com. Prod. Services</t>
  </si>
  <si>
    <t>MEYER Marilyne</t>
  </si>
  <si>
    <t>ISTOM</t>
  </si>
  <si>
    <t>BUT Gestion entreprises</t>
  </si>
  <si>
    <t>Licence Tourisme</t>
  </si>
  <si>
    <t>Psychologie || Psychologie || Psychologie</t>
  </si>
  <si>
    <t>Intégration dans la promotion</t>
  </si>
  <si>
    <t>Conflits dans le travail en groupe</t>
  </si>
  <si>
    <t>Absentéisme</t>
  </si>
  <si>
    <t>PORTUGAL</t>
  </si>
  <si>
    <t>RUSSIE</t>
  </si>
  <si>
    <t>_3</t>
  </si>
  <si>
    <t>Difficultés d’adaptation sociales et culturelles</t>
  </si>
  <si>
    <t>Concentration difficile</t>
  </si>
  <si>
    <t>ARIFTS</t>
  </si>
  <si>
    <t>12EME ANNEE</t>
  </si>
  <si>
    <t>MONITEUR EDUCATEUR</t>
  </si>
  <si>
    <t>DJIBOUTI</t>
  </si>
  <si>
    <t>Management sectoriel</t>
  </si>
  <si>
    <t>GHANA</t>
  </si>
  <si>
    <t>Master Histoire</t>
  </si>
  <si>
    <t>Cycle prépa intégré ingén</t>
  </si>
  <si>
    <t>TOGO</t>
  </si>
  <si>
    <t>Inhibition majeure</t>
  </si>
  <si>
    <t>PHILIPPINES</t>
  </si>
  <si>
    <t>Discrimination/Harcèlement</t>
  </si>
  <si>
    <t>Master Psycho clinique</t>
  </si>
  <si>
    <t>EDUCATEUR SPECIALISE</t>
  </si>
  <si>
    <t>Troubles sexuels</t>
  </si>
  <si>
    <t>LP ABF Chargé client.</t>
  </si>
  <si>
    <t>GABON</t>
  </si>
  <si>
    <t>Master MAE</t>
  </si>
  <si>
    <t>MAROC</t>
  </si>
  <si>
    <t>Anxiété sociale</t>
  </si>
  <si>
    <t>POLOGNE</t>
  </si>
  <si>
    <t>Conflits conjugaux</t>
  </si>
  <si>
    <t>Antenne UFR Lettres - Cholet</t>
  </si>
  <si>
    <t>Conditions de vie</t>
  </si>
  <si>
    <t>Précarité économique</t>
  </si>
  <si>
    <t>Autre</t>
  </si>
  <si>
    <t>Emprise</t>
  </si>
  <si>
    <t>Handicap</t>
  </si>
  <si>
    <t>ESPAGNE</t>
  </si>
  <si>
    <t>ITALIE</t>
  </si>
  <si>
    <t>MALI</t>
  </si>
  <si>
    <t>103</t>
  </si>
  <si>
    <t>P113_S5S6_2425</t>
  </si>
  <si>
    <t>16</t>
  </si>
  <si>
    <t>DEUST Préparateur</t>
  </si>
  <si>
    <t>BUT Carrières sociales</t>
  </si>
  <si>
    <t>_4</t>
  </si>
  <si>
    <t>Orientation sexuelle</t>
  </si>
  <si>
    <t>ARGENTINE</t>
  </si>
  <si>
    <t>BENIN</t>
  </si>
  <si>
    <t>ROUMANIE</t>
  </si>
  <si>
    <t>53</t>
  </si>
  <si>
    <t>Angoisse face à l’insertion professionnelle future</t>
  </si>
  <si>
    <t>licence information communication uco</t>
  </si>
  <si>
    <t xml:space="preserve">Nombre d'éléments selon les filtres : </t>
  </si>
  <si>
    <t xml:space="preserve">Nombre d'étudiants différents selon les filtres :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</si>
</sst>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8.0"/>
      <b val="true"/>
    </font>
    <font>
      <name val="Arial"/>
      <sz val="18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1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8"/>
  <sheetViews>
    <sheetView workbookViewId="0" tabSelected="true"/>
  </sheetViews>
  <sheetFormatPr defaultRowHeight="15.0"/>
  <cols>
    <col min="1" max="1" width="27.0" customWidth="true"/>
    <col min="2" max="2" width="53.0" customWidth="true"/>
    <col min="3" max="3" width="59.0" customWidth="true"/>
    <col min="4" max="4" width="29.0" customWidth="true"/>
    <col min="5" max="5" width="30.0" customWidth="true"/>
    <col min="6" max="6" width="69.0" customWidth="true"/>
    <col min="7" max="7" width="72.0" customWidth="true"/>
    <col min="8" max="8" width="14.0" customWidth="true"/>
    <col min="9" max="9" width="62.0" customWidth="true" hidden="true"/>
    <col min="10" max="10" width="47.0" customWidth="true" hidden="true"/>
    <col min="11" max="11" width="27.0" customWidth="true"/>
    <col min="12" max="12" width="27.0" customWidth="true"/>
    <col min="13" max="13" width="66.0" customWidth="true"/>
    <col min="14" max="14" width="18.0" customWidth="true"/>
    <col min="15" max="15" width="53.0" customWidth="true"/>
    <col min="16" max="16" width="8.0" customWidth="true"/>
    <col min="17" max="17" width="7.0" customWidth="true"/>
    <col min="18" max="18" width="18.0" customWidth="true"/>
  </cols>
  <sheetData>
    <row r="1">
      <c r="C1" t="s" s="5">
        <v>224</v>
      </c>
      <c r="D1" s="5">
        <f>SUBTOTAL(3,A5:A309)</f>
      </c>
    </row>
    <row r="2">
      <c r="C2" t="s" s="5">
        <v>225</v>
      </c>
      <c r="D2" s="5">
        <f>SUBTOTAL(9,I5:I309)</f>
      </c>
    </row>
    <row r="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</row>
    <row r="5">
      <c r="A5" t="n" s="3">
        <v>45895.481458333335</v>
      </c>
      <c r="B5" t="s" s="0">
        <v>18</v>
      </c>
      <c r="C5" t="s" s="0">
        <v>19</v>
      </c>
      <c r="D5" t="s" s="0">
        <v>20</v>
      </c>
      <c r="E5" t="s" s="0">
        <v>21</v>
      </c>
      <c r="F5" t="s" s="0">
        <v>22</v>
      </c>
      <c r="G5" t="s" s="0">
        <v>23</v>
      </c>
      <c r="H5" t="n" s="0">
        <v>937030.0</v>
      </c>
      <c r="I5" s="0">
        <f>1/COUNTIFS($H$5:$H$308,H5,$J$5:$J$308,1)</f>
      </c>
      <c r="J5" s="0">
        <f>IF(SUBTOTAL(103,H5) = 1, 1, 0)</f>
      </c>
      <c r="K5" t="n" s="0">
        <v>2025.0</v>
      </c>
      <c r="L5" t="s" s="0">
        <v>24</v>
      </c>
      <c r="M5" t="s" s="0">
        <v>25</v>
      </c>
      <c r="N5" t="s" s="0">
        <v>26</v>
      </c>
      <c r="O5" t="s" s="0">
        <v>27</v>
      </c>
      <c r="P5" t="s" s="0">
        <v>28</v>
      </c>
      <c r="Q5" t="n" s="0">
        <v>28.0</v>
      </c>
      <c r="R5" t="s" s="0">
        <v>29</v>
      </c>
    </row>
    <row r="6">
      <c r="A6" t="n" s="3">
        <v>45896.58605324074</v>
      </c>
      <c r="B6" t="s" s="0">
        <v>18</v>
      </c>
      <c r="C6" t="s" s="0">
        <v>19</v>
      </c>
      <c r="D6" t="s" s="0">
        <v>30</v>
      </c>
      <c r="E6" t="s" s="0">
        <v>21</v>
      </c>
      <c r="F6" t="s" s="0">
        <v>31</v>
      </c>
      <c r="G6" t="s" s="0">
        <v>32</v>
      </c>
      <c r="H6" t="n" s="0">
        <v>782743.0</v>
      </c>
      <c r="I6" s="0">
        <f>1/COUNTIFS($H$5:$H$308,H6,$J$5:$J$308,1)</f>
      </c>
      <c r="J6" s="0">
        <f>IF(SUBTOTAL(103,H6) = 1, 1, 0)</f>
      </c>
      <c r="K6" t="n" s="0">
        <v>2024.0</v>
      </c>
      <c r="L6" t="s" s="0">
        <v>24</v>
      </c>
      <c r="M6" t="s" s="0">
        <v>33</v>
      </c>
      <c r="N6" t="s" s="0">
        <v>34</v>
      </c>
      <c r="O6" t="s" s="0">
        <v>35</v>
      </c>
      <c r="P6" t="s" s="0">
        <v>36</v>
      </c>
      <c r="Q6" t="n" s="0">
        <v>23.0</v>
      </c>
      <c r="R6" t="s" s="0">
        <v>29</v>
      </c>
    </row>
    <row r="7">
      <c r="A7" t="n" s="3">
        <v>45896.647048611114</v>
      </c>
      <c r="B7" t="s" s="0">
        <v>18</v>
      </c>
      <c r="C7" t="s" s="0">
        <v>37</v>
      </c>
      <c r="D7" t="s" s="0">
        <v>20</v>
      </c>
      <c r="E7" t="s" s="0">
        <v>21</v>
      </c>
      <c r="F7" t="s" s="0">
        <v>38</v>
      </c>
      <c r="G7" t="s" s="0">
        <v>39</v>
      </c>
      <c r="H7" t="n" s="0">
        <v>258144.0</v>
      </c>
      <c r="I7" s="0">
        <f>1/COUNTIFS($H$5:$H$308,H7,$J$5:$J$308,1)</f>
      </c>
      <c r="J7" s="0">
        <f>IF(SUBTOTAL(103,H7) = 1, 1, 0)</f>
      </c>
      <c r="K7" t="n" s="0">
        <v>2025.0</v>
      </c>
      <c r="L7" t="s" s="0">
        <v>24</v>
      </c>
      <c r="M7" t="s" s="0">
        <v>40</v>
      </c>
      <c r="N7" t="s" s="0">
        <v>41</v>
      </c>
      <c r="O7" t="s" s="0">
        <v>42</v>
      </c>
      <c r="P7" t="s" s="0">
        <v>28</v>
      </c>
      <c r="Q7" t="n" s="0">
        <v>29.0</v>
      </c>
      <c r="R7" t="s" s="0">
        <v>29</v>
      </c>
    </row>
    <row r="8">
      <c r="A8" t="n" s="3">
        <v>45896.66395833333</v>
      </c>
      <c r="B8" t="s" s="0">
        <v>18</v>
      </c>
      <c r="C8" t="s" s="0">
        <v>37</v>
      </c>
      <c r="D8" t="s" s="0">
        <v>30</v>
      </c>
      <c r="E8" t="s" s="0">
        <v>21</v>
      </c>
      <c r="F8" t="s" s="0">
        <v>43</v>
      </c>
      <c r="G8" t="s" s="0">
        <v>32</v>
      </c>
      <c r="H8" t="n" s="0">
        <v>835318.0</v>
      </c>
      <c r="I8" s="0">
        <f>1/COUNTIFS($H$5:$H$308,H8,$J$5:$J$308,1)</f>
      </c>
      <c r="J8" s="0">
        <f>IF(SUBTOTAL(103,H8) = 1, 1, 0)</f>
      </c>
      <c r="K8" t="n" s="0">
        <v>2024.0</v>
      </c>
      <c r="L8" t="s" s="0">
        <v>24</v>
      </c>
      <c r="M8" t="s" s="0">
        <v>33</v>
      </c>
      <c r="N8" t="s" s="0">
        <v>26</v>
      </c>
      <c r="O8" t="s" s="0">
        <v>44</v>
      </c>
      <c r="P8" t="s" s="0">
        <v>36</v>
      </c>
      <c r="Q8" t="n" s="0">
        <v>22.0</v>
      </c>
      <c r="R8" t="s" s="0">
        <v>45</v>
      </c>
    </row>
    <row r="9">
      <c r="A9" t="n" s="3">
        <v>45897.423483796294</v>
      </c>
      <c r="B9" t="s" s="0">
        <v>18</v>
      </c>
      <c r="C9" t="s" s="0">
        <v>19</v>
      </c>
      <c r="D9" t="s" s="0">
        <v>46</v>
      </c>
      <c r="E9" t="s" s="0">
        <v>21</v>
      </c>
      <c r="F9" t="s" s="0">
        <v>43</v>
      </c>
      <c r="G9" t="s" s="0">
        <v>47</v>
      </c>
      <c r="H9" t="n" s="0">
        <v>501471.0</v>
      </c>
      <c r="I9" s="0">
        <f>1/COUNTIFS($H$5:$H$308,H9,$J$5:$J$308,1)</f>
      </c>
      <c r="J9" s="0">
        <f>IF(SUBTOTAL(103,H9) = 1, 1, 0)</f>
      </c>
      <c r="K9" t="n" s="0">
        <v>2024.0</v>
      </c>
      <c r="L9" t="s" s="0">
        <v>24</v>
      </c>
      <c r="M9" t="s" s="0">
        <v>33</v>
      </c>
      <c r="N9" t="s" s="0">
        <v>48</v>
      </c>
      <c r="O9" t="s" s="0">
        <v>49</v>
      </c>
      <c r="P9" t="s" s="0">
        <v>36</v>
      </c>
      <c r="Q9" t="n" s="0">
        <v>25.0</v>
      </c>
      <c r="R9" t="s" s="0">
        <v>29</v>
      </c>
    </row>
    <row r="10">
      <c r="A10" t="n" s="3">
        <v>45897.57599537037</v>
      </c>
      <c r="B10" t="s" s="0">
        <v>50</v>
      </c>
      <c r="C10" t="s" s="0">
        <v>51</v>
      </c>
      <c r="D10" t="s" s="0">
        <v>20</v>
      </c>
      <c r="E10" t="s" s="0">
        <v>21</v>
      </c>
      <c r="F10" t="s" s="0">
        <v>52</v>
      </c>
      <c r="G10" t="s" s="0">
        <v>53</v>
      </c>
      <c r="H10" t="n" s="0">
        <v>889851.0</v>
      </c>
      <c r="I10" s="0">
        <f>1/COUNTIFS($H$5:$H$308,H10,$J$5:$J$308,1)</f>
      </c>
      <c r="J10" s="0">
        <f>IF(SUBTOTAL(103,H10) = 1, 1, 0)</f>
      </c>
      <c r="K10" t="n" s="0">
        <v>2023.0</v>
      </c>
      <c r="L10" t="s" s="0">
        <v>54</v>
      </c>
      <c r="M10" t="s" s="0">
        <v>54</v>
      </c>
      <c r="N10" t="s" s="0">
        <v>55</v>
      </c>
      <c r="O10" t="s" s="0">
        <v>56</v>
      </c>
      <c r="P10" t="s" s="0">
        <v>28</v>
      </c>
      <c r="Q10" t="n" s="0">
        <v>22.0</v>
      </c>
      <c r="R10" t="s" s="0">
        <v>29</v>
      </c>
    </row>
    <row r="11">
      <c r="A11" t="n" s="3">
        <v>45897.68938657407</v>
      </c>
      <c r="B11" t="s" s="0">
        <v>50</v>
      </c>
      <c r="C11" t="s" s="0">
        <v>51</v>
      </c>
      <c r="D11" t="s" s="0">
        <v>20</v>
      </c>
      <c r="E11" t="s" s="0">
        <v>21</v>
      </c>
      <c r="F11" t="s" s="0">
        <v>52</v>
      </c>
      <c r="G11" t="s" s="0">
        <v>53</v>
      </c>
      <c r="H11" t="n" s="0">
        <v>532860.0</v>
      </c>
      <c r="I11" s="0">
        <f>1/COUNTIFS($H$5:$H$308,H11,$J$5:$J$308,1)</f>
      </c>
      <c r="J11" s="0">
        <f>IF(SUBTOTAL(103,H11) = 1, 1, 0)</f>
      </c>
      <c r="K11" t="n" s="0">
        <v>2024.0</v>
      </c>
      <c r="L11" t="s" s="0">
        <v>24</v>
      </c>
      <c r="M11" t="s" s="0">
        <v>57</v>
      </c>
      <c r="N11" t="s" s="0">
        <v>58</v>
      </c>
      <c r="O11" t="s" s="0">
        <v>59</v>
      </c>
      <c r="P11" t="s" s="0">
        <v>28</v>
      </c>
      <c r="Q11" t="n" s="0">
        <v>25.0</v>
      </c>
      <c r="R11" t="s" s="0">
        <v>29</v>
      </c>
    </row>
    <row r="12">
      <c r="A12" t="n" s="3">
        <v>45898.43219907407</v>
      </c>
      <c r="B12" t="s" s="0">
        <v>18</v>
      </c>
      <c r="C12" t="s" s="0">
        <v>37</v>
      </c>
      <c r="D12" t="s" s="0">
        <v>46</v>
      </c>
      <c r="E12" t="s" s="0">
        <v>21</v>
      </c>
      <c r="F12" t="s" s="0">
        <v>52</v>
      </c>
      <c r="G12" t="s" s="0">
        <v>60</v>
      </c>
      <c r="H12" t="n" s="0">
        <v>856510.0</v>
      </c>
      <c r="I12" s="0">
        <f>1/COUNTIFS($H$5:$H$308,H12,$J$5:$J$308,1)</f>
      </c>
      <c r="J12" s="0">
        <f>IF(SUBTOTAL(103,H12) = 1, 1, 0)</f>
      </c>
      <c r="K12" t="n" s="0">
        <v>2025.0</v>
      </c>
      <c r="L12" t="s" s="0">
        <v>24</v>
      </c>
      <c r="M12" t="s" s="0">
        <v>33</v>
      </c>
      <c r="N12" t="s" s="0">
        <v>34</v>
      </c>
      <c r="O12" t="s" s="0">
        <v>35</v>
      </c>
      <c r="P12" t="s" s="0">
        <v>36</v>
      </c>
      <c r="Q12" t="n" s="0">
        <v>20.0</v>
      </c>
      <c r="R12" t="s" s="0">
        <v>29</v>
      </c>
    </row>
    <row r="13">
      <c r="A13" t="n" s="3">
        <v>45898.44709490741</v>
      </c>
      <c r="B13" t="s" s="0">
        <v>18</v>
      </c>
      <c r="C13" t="s" s="0">
        <v>37</v>
      </c>
      <c r="D13" t="s" s="0">
        <v>20</v>
      </c>
      <c r="E13" t="s" s="0">
        <v>21</v>
      </c>
      <c r="F13" t="s" s="0">
        <v>52</v>
      </c>
      <c r="G13" t="s" s="0">
        <v>60</v>
      </c>
      <c r="H13" t="n" s="0">
        <v>909757.0</v>
      </c>
      <c r="I13" s="0">
        <f>1/COUNTIFS($H$5:$H$308,H13,$J$5:$J$308,1)</f>
      </c>
      <c r="J13" s="0">
        <f>IF(SUBTOTAL(103,H13) = 1, 1, 0)</f>
      </c>
      <c r="K13" t="n" s="0">
        <v>2025.0</v>
      </c>
      <c r="L13" t="s" s="0">
        <v>24</v>
      </c>
      <c r="M13" t="s" s="0">
        <v>57</v>
      </c>
      <c r="N13" t="s" s="0">
        <v>26</v>
      </c>
      <c r="O13" t="s" s="0">
        <v>61</v>
      </c>
      <c r="P13" t="s" s="0">
        <v>36</v>
      </c>
      <c r="Q13" t="n" s="0">
        <v>19.0</v>
      </c>
      <c r="R13" t="s" s="0">
        <v>29</v>
      </c>
    </row>
    <row r="14">
      <c r="A14" t="n" s="3">
        <v>45898.47398148148</v>
      </c>
      <c r="B14" t="s" s="0">
        <v>18</v>
      </c>
      <c r="C14" t="s" s="0">
        <v>37</v>
      </c>
      <c r="D14" t="s" s="0">
        <v>46</v>
      </c>
      <c r="E14" t="s" s="0">
        <v>21</v>
      </c>
      <c r="F14" t="s" s="0">
        <v>43</v>
      </c>
      <c r="G14" t="s" s="0">
        <v>47</v>
      </c>
      <c r="H14" t="n" s="0">
        <v>693085.0</v>
      </c>
      <c r="I14" s="0">
        <f>1/COUNTIFS($H$5:$H$308,H14,$J$5:$J$308,1)</f>
      </c>
      <c r="J14" s="0">
        <f>IF(SUBTOTAL(103,H14) = 1, 1, 0)</f>
      </c>
      <c r="K14" t="n" s="0">
        <v>2025.0</v>
      </c>
      <c r="L14" t="s" s="0">
        <v>24</v>
      </c>
      <c r="M14" t="s" s="0">
        <v>33</v>
      </c>
      <c r="N14" t="s" s="0">
        <v>62</v>
      </c>
      <c r="O14" t="s" s="0">
        <v>44</v>
      </c>
      <c r="P14" t="s" s="0">
        <v>36</v>
      </c>
      <c r="Q14" t="n" s="0">
        <v>23.0</v>
      </c>
      <c r="R14" t="s" s="0">
        <v>29</v>
      </c>
    </row>
    <row r="15">
      <c r="A15" t="n" s="3">
        <v>45898.47728009259</v>
      </c>
      <c r="B15" t="s" s="0">
        <v>18</v>
      </c>
      <c r="C15" t="s" s="0">
        <v>51</v>
      </c>
      <c r="D15" t="s" s="0">
        <v>63</v>
      </c>
      <c r="E15" t="s" s="0">
        <v>21</v>
      </c>
      <c r="F15" t="s" s="0">
        <v>52</v>
      </c>
      <c r="G15" t="s" s="0">
        <v>60</v>
      </c>
      <c r="H15" t="n" s="0">
        <v>785035.0</v>
      </c>
      <c r="I15" s="0">
        <f>1/COUNTIFS($H$5:$H$308,H15,$J$5:$J$308,1)</f>
      </c>
      <c r="J15" s="0">
        <f>IF(SUBTOTAL(103,H15) = 1, 1, 0)</f>
      </c>
      <c r="K15" t="n" s="0">
        <v>2025.0</v>
      </c>
      <c r="L15" t="s" s="0">
        <v>24</v>
      </c>
      <c r="M15" t="s" s="0">
        <v>25</v>
      </c>
      <c r="N15" t="s" s="0">
        <v>64</v>
      </c>
      <c r="O15" t="s" s="0">
        <v>27</v>
      </c>
      <c r="P15" t="s" s="0">
        <v>36</v>
      </c>
      <c r="Q15" t="n" s="0">
        <v>21.0</v>
      </c>
      <c r="R15" t="s" s="0">
        <v>29</v>
      </c>
    </row>
    <row r="16">
      <c r="A16" t="n" s="3">
        <v>45898.61142361111</v>
      </c>
      <c r="B16" t="s" s="0">
        <v>18</v>
      </c>
      <c r="C16" t="s" s="0">
        <v>51</v>
      </c>
      <c r="D16" t="s" s="0">
        <v>63</v>
      </c>
      <c r="E16" t="s" s="0">
        <v>21</v>
      </c>
      <c r="F16" t="s" s="0">
        <v>65</v>
      </c>
      <c r="G16" t="s" s="0">
        <v>66</v>
      </c>
      <c r="H16" t="n" s="0">
        <v>779462.0</v>
      </c>
      <c r="I16" s="0">
        <f>1/COUNTIFS($H$5:$H$308,H16,$J$5:$J$308,1)</f>
      </c>
      <c r="J16" s="0">
        <f>IF(SUBTOTAL(103,H16) = 1, 1, 0)</f>
      </c>
      <c r="K16" t="n" s="0">
        <v>2024.0</v>
      </c>
      <c r="L16" t="s" s="0">
        <v>24</v>
      </c>
      <c r="M16" t="s" s="0">
        <v>57</v>
      </c>
      <c r="N16" t="s" s="0">
        <v>34</v>
      </c>
      <c r="O16" t="s" s="0">
        <v>61</v>
      </c>
      <c r="P16" t="s" s="0">
        <v>36</v>
      </c>
      <c r="Q16" t="n" s="0">
        <v>21.0</v>
      </c>
      <c r="R16" t="s" s="0">
        <v>29</v>
      </c>
    </row>
    <row r="17">
      <c r="A17" t="n" s="3">
        <v>45898.66924768518</v>
      </c>
      <c r="B17" t="s" s="0">
        <v>18</v>
      </c>
      <c r="C17" t="s" s="0">
        <v>51</v>
      </c>
      <c r="D17" t="s" s="0">
        <v>63</v>
      </c>
      <c r="E17" t="s" s="0">
        <v>21</v>
      </c>
      <c r="F17" t="s" s="0">
        <v>67</v>
      </c>
      <c r="G17" t="s" s="0">
        <v>68</v>
      </c>
      <c r="H17" t="n" s="0">
        <v>692063.0</v>
      </c>
      <c r="I17" s="0">
        <f>1/COUNTIFS($H$5:$H$308,H17,$J$5:$J$308,1)</f>
      </c>
      <c r="J17" s="0">
        <f>IF(SUBTOTAL(103,H17) = 1, 1, 0)</f>
      </c>
      <c r="K17" t="n" s="0">
        <v>2025.0</v>
      </c>
      <c r="L17" t="s" s="0">
        <v>24</v>
      </c>
      <c r="M17" t="s" s="0">
        <v>69</v>
      </c>
      <c r="N17" t="s" s="0">
        <v>70</v>
      </c>
      <c r="O17" t="s" s="0">
        <v>71</v>
      </c>
      <c r="P17" t="s" s="0">
        <v>36</v>
      </c>
      <c r="Q17" t="n" s="0">
        <v>22.0</v>
      </c>
      <c r="R17" t="s" s="0">
        <v>29</v>
      </c>
    </row>
    <row r="18">
      <c r="A18" t="n" s="3">
        <v>45901.42260416667</v>
      </c>
      <c r="B18" t="s" s="0">
        <v>18</v>
      </c>
      <c r="C18" t="s" s="0">
        <v>37</v>
      </c>
      <c r="D18" t="s" s="0">
        <v>30</v>
      </c>
      <c r="E18" t="s" s="0">
        <v>21</v>
      </c>
      <c r="F18" t="s" s="0">
        <v>52</v>
      </c>
      <c r="G18" t="s" s="0">
        <v>53</v>
      </c>
      <c r="H18" t="n" s="0">
        <v>697814.0</v>
      </c>
      <c r="I18" s="0">
        <f>1/COUNTIFS($H$5:$H$308,H18,$J$5:$J$308,1)</f>
      </c>
      <c r="J18" s="0">
        <f>IF(SUBTOTAL(103,H18) = 1, 1, 0)</f>
      </c>
      <c r="K18" t="n" s="0">
        <v>2025.0</v>
      </c>
      <c r="L18" t="s" s="0">
        <v>24</v>
      </c>
      <c r="M18" t="s" s="0">
        <v>33</v>
      </c>
      <c r="N18" t="s" s="0">
        <v>58</v>
      </c>
      <c r="O18" t="s" s="0">
        <v>72</v>
      </c>
      <c r="P18" t="s" s="0">
        <v>28</v>
      </c>
      <c r="Q18" t="n" s="0">
        <v>25.0</v>
      </c>
      <c r="R18" t="s" s="0">
        <v>29</v>
      </c>
    </row>
    <row r="19">
      <c r="A19" t="n" s="3">
        <v>45901.43715277778</v>
      </c>
      <c r="B19" t="s" s="0">
        <v>18</v>
      </c>
      <c r="C19" t="s" s="0">
        <v>51</v>
      </c>
      <c r="D19" t="s" s="0">
        <v>63</v>
      </c>
      <c r="E19" t="s" s="0">
        <v>21</v>
      </c>
      <c r="F19" t="s" s="0">
        <v>31</v>
      </c>
      <c r="G19" t="s" s="0">
        <v>73</v>
      </c>
      <c r="H19" t="n" s="0">
        <v>860314.0</v>
      </c>
      <c r="I19" s="0">
        <f>1/COUNTIFS($H$5:$H$308,H19,$J$5:$J$308,1)</f>
      </c>
      <c r="J19" s="0">
        <f>IF(SUBTOTAL(103,H19) = 1, 1, 0)</f>
      </c>
      <c r="K19" t="n" s="0">
        <v>2025.0</v>
      </c>
      <c r="L19" t="s" s="0">
        <v>24</v>
      </c>
      <c r="M19" t="s" s="0">
        <v>33</v>
      </c>
      <c r="N19" t="s" s="0">
        <v>34</v>
      </c>
      <c r="O19" t="s" s="0">
        <v>74</v>
      </c>
      <c r="P19" t="s" s="0">
        <v>36</v>
      </c>
      <c r="Q19" t="n" s="0">
        <v>21.0</v>
      </c>
      <c r="R19" t="s" s="0">
        <v>29</v>
      </c>
    </row>
    <row r="20">
      <c r="A20" t="n" s="3">
        <v>45902.62540509259</v>
      </c>
      <c r="B20" t="s" s="0">
        <v>18</v>
      </c>
      <c r="C20" t="s" s="0">
        <v>37</v>
      </c>
      <c r="D20" t="s" s="0">
        <v>75</v>
      </c>
      <c r="E20" t="s" s="0">
        <v>21</v>
      </c>
      <c r="F20" t="s" s="0">
        <v>31</v>
      </c>
      <c r="G20" t="s" s="0">
        <v>73</v>
      </c>
      <c r="H20" t="n" s="0">
        <v>959451.0</v>
      </c>
      <c r="I20" s="0">
        <f>1/COUNTIFS($H$5:$H$308,H20,$J$5:$J$308,1)</f>
      </c>
      <c r="J20" s="0">
        <f>IF(SUBTOTAL(103,H20) = 1, 1, 0)</f>
      </c>
      <c r="K20" t="n" s="0">
        <v>2025.0</v>
      </c>
      <c r="L20" t="s" s="0">
        <v>24</v>
      </c>
      <c r="M20" t="s" s="0">
        <v>33</v>
      </c>
      <c r="N20" t="s" s="0">
        <v>26</v>
      </c>
      <c r="O20" t="s" s="0">
        <v>35</v>
      </c>
      <c r="P20" t="s" s="0">
        <v>36</v>
      </c>
      <c r="Q20" t="n" s="0">
        <v>19.0</v>
      </c>
      <c r="R20" t="s" s="0">
        <v>29</v>
      </c>
    </row>
    <row r="21">
      <c r="A21" t="n" s="3">
        <v>45902.5</v>
      </c>
      <c r="B21" t="s" s="0">
        <v>18</v>
      </c>
      <c r="C21" t="s" s="0">
        <v>37</v>
      </c>
      <c r="D21" t="s" s="0">
        <v>75</v>
      </c>
      <c r="E21" t="s" s="0">
        <v>21</v>
      </c>
      <c r="F21" t="s" s="0">
        <v>31</v>
      </c>
      <c r="G21" t="s" s="0">
        <v>76</v>
      </c>
      <c r="H21" t="n" s="0">
        <v>957009.0</v>
      </c>
      <c r="I21" s="0">
        <f>1/COUNTIFS($H$5:$H$308,H21,$J$5:$J$308,1)</f>
      </c>
      <c r="J21" s="0">
        <f>IF(SUBTOTAL(103,H21) = 1, 1, 0)</f>
      </c>
      <c r="K21" t="n" s="0">
        <v>2024.0</v>
      </c>
      <c r="L21" t="s" s="0">
        <v>77</v>
      </c>
      <c r="M21" t="s" s="0">
        <v>78</v>
      </c>
      <c r="N21" t="s" s="0">
        <v>34</v>
      </c>
      <c r="O21" t="s" s="0">
        <v>19</v>
      </c>
      <c r="P21" t="s" s="0">
        <v>36</v>
      </c>
      <c r="Q21" t="n" s="0">
        <v>21.0</v>
      </c>
      <c r="R21" t="s" s="0">
        <v>29</v>
      </c>
    </row>
    <row r="22">
      <c r="A22" t="n" s="3">
        <v>45902.416666666664</v>
      </c>
      <c r="B22" t="s" s="0">
        <v>18</v>
      </c>
      <c r="C22" t="s" s="0">
        <v>37</v>
      </c>
      <c r="D22" t="s" s="0">
        <v>75</v>
      </c>
      <c r="E22" t="s" s="0">
        <v>21</v>
      </c>
      <c r="F22" t="s" s="0">
        <v>65</v>
      </c>
      <c r="G22" t="s" s="0">
        <v>79</v>
      </c>
      <c r="H22" t="n" s="0">
        <v>940323.0</v>
      </c>
      <c r="I22" s="0">
        <f>1/COUNTIFS($H$5:$H$308,H22,$J$5:$J$308,1)</f>
      </c>
      <c r="J22" s="0">
        <f>IF(SUBTOTAL(103,H22) = 1, 1, 0)</f>
      </c>
      <c r="K22" t="n" s="0">
        <v>2025.0</v>
      </c>
      <c r="L22" t="s" s="0">
        <v>24</v>
      </c>
      <c r="M22" t="s" s="0">
        <v>80</v>
      </c>
      <c r="N22" t="s" s="0">
        <v>58</v>
      </c>
      <c r="O22" t="s" s="0">
        <v>81</v>
      </c>
      <c r="P22" t="s" s="0">
        <v>36</v>
      </c>
      <c r="Q22" t="n" s="0">
        <v>22.0</v>
      </c>
      <c r="R22" t="s" s="0">
        <v>29</v>
      </c>
    </row>
    <row r="23">
      <c r="A23" t="n" s="3">
        <v>45902.734606481485</v>
      </c>
      <c r="B23" t="s" s="0">
        <v>18</v>
      </c>
      <c r="C23" t="s" s="0">
        <v>37</v>
      </c>
      <c r="D23" t="s" s="0">
        <v>75</v>
      </c>
      <c r="E23" t="s" s="0">
        <v>21</v>
      </c>
      <c r="F23" t="s" s="0">
        <v>38</v>
      </c>
      <c r="G23" t="s" s="0">
        <v>82</v>
      </c>
      <c r="H23" t="n" s="0">
        <v>908248.0</v>
      </c>
      <c r="I23" s="0">
        <f>1/COUNTIFS($H$5:$H$308,H23,$J$5:$J$308,1)</f>
      </c>
      <c r="J23" s="0">
        <f>IF(SUBTOTAL(103,H23) = 1, 1, 0)</f>
      </c>
      <c r="K23" t="n" s="0">
        <v>2023.0</v>
      </c>
      <c r="L23" t="s" s="0">
        <v>77</v>
      </c>
      <c r="M23" t="s" s="0">
        <v>78</v>
      </c>
      <c r="N23" t="s" s="0">
        <v>83</v>
      </c>
      <c r="O23" t="s" s="0">
        <v>19</v>
      </c>
      <c r="P23" t="s" s="0">
        <v>36</v>
      </c>
      <c r="Q23" t="n" s="0">
        <v>26.0</v>
      </c>
      <c r="R23" t="s" s="0">
        <v>29</v>
      </c>
    </row>
    <row r="24">
      <c r="A24" t="n" s="3">
        <v>45903.63832175926</v>
      </c>
      <c r="B24" t="s" s="0">
        <v>18</v>
      </c>
      <c r="C24" t="s" s="0">
        <v>37</v>
      </c>
      <c r="D24" t="s" s="0">
        <v>30</v>
      </c>
      <c r="E24" t="s" s="0">
        <v>21</v>
      </c>
      <c r="F24" t="s" s="0">
        <v>52</v>
      </c>
      <c r="G24" t="s" s="0">
        <v>32</v>
      </c>
      <c r="H24" t="n" s="0">
        <v>700329.0</v>
      </c>
      <c r="I24" s="0">
        <f>1/COUNTIFS($H$5:$H$308,H24,$J$5:$J$308,1)</f>
      </c>
      <c r="J24" s="0">
        <f>IF(SUBTOTAL(103,H24) = 1, 1, 0)</f>
      </c>
      <c r="K24" t="n" s="0">
        <v>2025.0</v>
      </c>
      <c r="L24" t="s" s="0">
        <v>24</v>
      </c>
      <c r="M24" t="s" s="0">
        <v>40</v>
      </c>
      <c r="N24" t="s" s="0">
        <v>58</v>
      </c>
      <c r="O24" t="s" s="0">
        <v>84</v>
      </c>
      <c r="P24" t="s" s="0">
        <v>36</v>
      </c>
      <c r="Q24" t="n" s="0">
        <v>22.0</v>
      </c>
      <c r="R24" t="s" s="0">
        <v>29</v>
      </c>
    </row>
    <row r="25">
      <c r="A25" t="n" s="3">
        <v>45903.69008101852</v>
      </c>
      <c r="B25" t="s" s="0">
        <v>18</v>
      </c>
      <c r="C25" t="s" s="0">
        <v>51</v>
      </c>
      <c r="D25" t="s" s="0">
        <v>30</v>
      </c>
      <c r="E25" t="s" s="0">
        <v>21</v>
      </c>
      <c r="F25" t="s" s="0">
        <v>52</v>
      </c>
      <c r="G25" t="s" s="0">
        <v>60</v>
      </c>
      <c r="H25" t="n" s="0">
        <v>792703.0</v>
      </c>
      <c r="I25" s="0">
        <f>1/COUNTIFS($H$5:$H$308,H25,$J$5:$J$308,1)</f>
      </c>
      <c r="J25" s="0">
        <f>IF(SUBTOTAL(103,H25) = 1, 1, 0)</f>
      </c>
      <c r="K25" t="n" s="0">
        <v>2025.0</v>
      </c>
      <c r="L25" t="s" s="0">
        <v>24</v>
      </c>
      <c r="M25" t="s" s="0">
        <v>33</v>
      </c>
      <c r="N25" t="s" s="0">
        <v>64</v>
      </c>
      <c r="O25" t="s" s="0">
        <v>85</v>
      </c>
      <c r="P25" t="s" s="0">
        <v>36</v>
      </c>
      <c r="Q25" t="n" s="0">
        <v>23.0</v>
      </c>
      <c r="R25" t="s" s="0">
        <v>29</v>
      </c>
    </row>
    <row r="26">
      <c r="A26" t="n" s="3">
        <v>45904.45725694444</v>
      </c>
      <c r="B26" t="s" s="0">
        <v>18</v>
      </c>
      <c r="C26" t="s" s="0">
        <v>37</v>
      </c>
      <c r="D26" t="s" s="0">
        <v>46</v>
      </c>
      <c r="E26" t="s" s="0">
        <v>21</v>
      </c>
      <c r="F26" t="s" s="0">
        <v>52</v>
      </c>
      <c r="G26" t="s" s="0">
        <v>86</v>
      </c>
      <c r="H26" t="n" s="0">
        <v>840942.0</v>
      </c>
      <c r="I26" s="0">
        <f>1/COUNTIFS($H$5:$H$308,H26,$J$5:$J$308,1)</f>
      </c>
      <c r="J26" s="0">
        <f>IF(SUBTOTAL(103,H26) = 1, 1, 0)</f>
      </c>
      <c r="K26" t="n" s="0">
        <v>2025.0</v>
      </c>
      <c r="L26" t="s" s="0">
        <v>24</v>
      </c>
      <c r="M26" t="s" s="0">
        <v>33</v>
      </c>
      <c r="N26" t="s" s="0">
        <v>34</v>
      </c>
      <c r="O26" t="s" s="0">
        <v>35</v>
      </c>
      <c r="P26" t="s" s="0">
        <v>36</v>
      </c>
      <c r="Q26" t="n" s="0">
        <v>20.0</v>
      </c>
      <c r="R26" t="s" s="0">
        <v>29</v>
      </c>
    </row>
    <row r="27">
      <c r="A27" t="n" s="3">
        <v>45904.52427083333</v>
      </c>
      <c r="B27" t="s" s="0">
        <v>18</v>
      </c>
      <c r="C27" t="s" s="0">
        <v>37</v>
      </c>
      <c r="D27" t="s" s="0">
        <v>46</v>
      </c>
      <c r="E27" t="s" s="0">
        <v>21</v>
      </c>
      <c r="F27" t="s" s="0">
        <v>43</v>
      </c>
      <c r="G27" t="s" s="0">
        <v>47</v>
      </c>
      <c r="H27" t="n" s="0">
        <v>834883.0</v>
      </c>
      <c r="I27" s="0">
        <f>1/COUNTIFS($H$5:$H$308,H27,$J$5:$J$308,1)</f>
      </c>
      <c r="J27" s="0">
        <f>IF(SUBTOTAL(103,H27) = 1, 1, 0)</f>
      </c>
      <c r="K27" t="n" s="0">
        <v>2025.0</v>
      </c>
      <c r="L27" t="s" s="0">
        <v>24</v>
      </c>
      <c r="M27" t="s" s="0">
        <v>25</v>
      </c>
      <c r="N27" t="s" s="0">
        <v>34</v>
      </c>
      <c r="O27" t="s" s="0">
        <v>27</v>
      </c>
      <c r="P27" t="s" s="0">
        <v>28</v>
      </c>
      <c r="Q27" t="n" s="0">
        <v>20.0</v>
      </c>
      <c r="R27" t="s" s="0">
        <v>29</v>
      </c>
    </row>
    <row r="28">
      <c r="A28" t="n" s="3">
        <v>45904.613391203704</v>
      </c>
      <c r="B28" t="s" s="0">
        <v>18</v>
      </c>
      <c r="C28" t="s" s="0">
        <v>37</v>
      </c>
      <c r="D28" t="s" s="0">
        <v>46</v>
      </c>
      <c r="E28" t="s" s="0">
        <v>21</v>
      </c>
      <c r="F28" t="s" s="0">
        <v>87</v>
      </c>
      <c r="G28" t="s" s="0">
        <v>88</v>
      </c>
      <c r="H28" t="n" s="0">
        <v>912354.0</v>
      </c>
      <c r="I28" s="0">
        <f>1/COUNTIFS($H$5:$H$308,H28,$J$5:$J$308,1)</f>
      </c>
      <c r="J28" s="0">
        <f>IF(SUBTOTAL(103,H28) = 1, 1, 0)</f>
      </c>
      <c r="K28" t="n" s="0">
        <v>2025.0</v>
      </c>
      <c r="L28" t="s" s="0">
        <v>24</v>
      </c>
      <c r="M28" t="s" s="0">
        <v>57</v>
      </c>
      <c r="N28" t="s" s="0">
        <v>26</v>
      </c>
      <c r="O28" t="s" s="0">
        <v>89</v>
      </c>
      <c r="P28" t="s" s="0">
        <v>36</v>
      </c>
      <c r="Q28" t="n" s="0">
        <v>19.0</v>
      </c>
      <c r="R28" t="s" s="0">
        <v>29</v>
      </c>
    </row>
    <row r="29">
      <c r="A29" t="n" s="3">
        <v>45904.65730324074</v>
      </c>
      <c r="B29" t="s" s="0">
        <v>18</v>
      </c>
      <c r="C29" t="s" s="0">
        <v>37</v>
      </c>
      <c r="D29" t="s" s="0">
        <v>30</v>
      </c>
      <c r="E29" t="s" s="0">
        <v>21</v>
      </c>
      <c r="F29" t="s" s="0">
        <v>31</v>
      </c>
      <c r="G29" t="s" s="0">
        <v>73</v>
      </c>
      <c r="H29" t="n" s="0">
        <v>945439.0</v>
      </c>
      <c r="I29" s="0">
        <f>1/COUNTIFS($H$5:$H$308,H29,$J$5:$J$308,1)</f>
      </c>
      <c r="J29" s="0">
        <f>IF(SUBTOTAL(103,H29) = 1, 1, 0)</f>
      </c>
      <c r="K29" t="n" s="0">
        <v>2025.0</v>
      </c>
      <c r="L29" t="s" s="0">
        <v>24</v>
      </c>
      <c r="M29" t="s" s="0">
        <v>33</v>
      </c>
      <c r="N29" t="s" s="0">
        <v>26</v>
      </c>
      <c r="O29" t="s" s="0">
        <v>44</v>
      </c>
      <c r="P29" t="s" s="0">
        <v>28</v>
      </c>
      <c r="Q29" t="n" s="0">
        <v>19.0</v>
      </c>
      <c r="R29" t="s" s="0">
        <v>29</v>
      </c>
    </row>
    <row r="30">
      <c r="A30" t="n" s="3">
        <v>45904.696608796294</v>
      </c>
      <c r="B30" t="s" s="0">
        <v>18</v>
      </c>
      <c r="C30" t="s" s="0">
        <v>37</v>
      </c>
      <c r="D30" t="s" s="0">
        <v>30</v>
      </c>
      <c r="E30" t="s" s="0">
        <v>21</v>
      </c>
      <c r="F30" t="s" s="0">
        <v>52</v>
      </c>
      <c r="G30" t="s" s="0">
        <v>60</v>
      </c>
      <c r="H30" t="n" s="0">
        <v>836137.0</v>
      </c>
      <c r="I30" s="0">
        <f>1/COUNTIFS($H$5:$H$308,H30,$J$5:$J$308,1)</f>
      </c>
      <c r="J30" s="0">
        <f>IF(SUBTOTAL(103,H30) = 1, 1, 0)</f>
      </c>
      <c r="K30" t="n" s="0">
        <v>2025.0</v>
      </c>
      <c r="L30" t="s" s="0">
        <v>24</v>
      </c>
      <c r="M30" t="s" s="0">
        <v>33</v>
      </c>
      <c r="N30" t="s" s="0">
        <v>34</v>
      </c>
      <c r="O30" t="s" s="0">
        <v>35</v>
      </c>
      <c r="P30" t="s" s="0">
        <v>36</v>
      </c>
      <c r="Q30" t="n" s="0">
        <v>21.0</v>
      </c>
      <c r="R30" t="s" s="0">
        <v>29</v>
      </c>
    </row>
    <row r="31">
      <c r="A31" t="n" s="3">
        <v>45905.43171296296</v>
      </c>
      <c r="B31" t="s" s="0">
        <v>18</v>
      </c>
      <c r="C31" t="s" s="0">
        <v>37</v>
      </c>
      <c r="D31" t="s" s="0">
        <v>46</v>
      </c>
      <c r="E31" t="s" s="0">
        <v>21</v>
      </c>
      <c r="F31" t="s" s="0">
        <v>52</v>
      </c>
      <c r="G31" t="s" s="0">
        <v>60</v>
      </c>
      <c r="H31" t="n" s="0">
        <v>698740.0</v>
      </c>
      <c r="I31" s="0">
        <f>1/COUNTIFS($H$5:$H$308,H31,$J$5:$J$308,1)</f>
      </c>
      <c r="J31" s="0">
        <f>IF(SUBTOTAL(103,H31) = 1, 1, 0)</f>
      </c>
      <c r="K31" t="n" s="0">
        <v>2025.0</v>
      </c>
      <c r="L31" t="s" s="0">
        <v>24</v>
      </c>
      <c r="M31" t="s" s="0">
        <v>80</v>
      </c>
      <c r="N31" t="s" s="0">
        <v>58</v>
      </c>
      <c r="O31" t="s" s="0">
        <v>90</v>
      </c>
      <c r="P31" t="s" s="0">
        <v>36</v>
      </c>
      <c r="Q31" t="n" s="0">
        <v>22.0</v>
      </c>
      <c r="R31" t="s" s="0">
        <v>29</v>
      </c>
    </row>
    <row r="32">
      <c r="A32" t="n" s="3">
        <v>45905.51107638889</v>
      </c>
      <c r="B32" t="s" s="0">
        <v>18</v>
      </c>
      <c r="C32" t="s" s="0">
        <v>37</v>
      </c>
      <c r="D32" t="s" s="0">
        <v>46</v>
      </c>
      <c r="E32" t="s" s="0">
        <v>21</v>
      </c>
      <c r="F32" t="s" s="0">
        <v>91</v>
      </c>
      <c r="G32" t="s" s="0">
        <v>92</v>
      </c>
      <c r="H32" t="n" s="0">
        <v>933536.0</v>
      </c>
      <c r="I32" s="0">
        <f>1/COUNTIFS($H$5:$H$308,H32,$J$5:$J$308,1)</f>
      </c>
      <c r="J32" s="0">
        <f>IF(SUBTOTAL(103,H32) = 1, 1, 0)</f>
      </c>
      <c r="K32" t="n" s="0">
        <v>2025.0</v>
      </c>
      <c r="L32" t="s" s="0">
        <v>24</v>
      </c>
      <c r="M32" t="s" s="0">
        <v>33</v>
      </c>
      <c r="N32" t="s" s="0">
        <v>58</v>
      </c>
      <c r="O32" t="s" s="0">
        <v>93</v>
      </c>
      <c r="P32" t="s" s="0">
        <v>36</v>
      </c>
      <c r="Q32" t="n" s="0">
        <v>25.0</v>
      </c>
      <c r="R32" t="s" s="0">
        <v>29</v>
      </c>
    </row>
    <row r="33">
      <c r="A33" t="n" s="3">
        <v>45905.523460648146</v>
      </c>
      <c r="B33" t="s" s="0">
        <v>18</v>
      </c>
      <c r="C33" t="s" s="0">
        <v>19</v>
      </c>
      <c r="D33" t="s" s="0">
        <v>63</v>
      </c>
      <c r="E33" t="s" s="0">
        <v>21</v>
      </c>
      <c r="F33" t="s" s="0">
        <v>31</v>
      </c>
      <c r="G33" t="s" s="0">
        <v>94</v>
      </c>
      <c r="H33" t="n" s="0">
        <v>1028029.0</v>
      </c>
      <c r="I33" s="0">
        <f>1/COUNTIFS($H$5:$H$308,H33,$J$5:$J$308,1)</f>
      </c>
      <c r="J33" s="0">
        <f>IF(SUBTOTAL(103,H33) = 1, 1, 0)</f>
      </c>
      <c r="K33" t="n" s="0">
        <v>2025.0</v>
      </c>
      <c r="L33" t="s" s="0">
        <v>24</v>
      </c>
      <c r="M33" t="s" s="0">
        <v>33</v>
      </c>
      <c r="N33" t="s" s="0">
        <v>95</v>
      </c>
      <c r="O33" t="s" s="0">
        <v>49</v>
      </c>
      <c r="P33" t="s" s="0">
        <v>36</v>
      </c>
      <c r="Q33" t="n" s="0">
        <v>21.0</v>
      </c>
      <c r="R33" t="s" s="0">
        <v>29</v>
      </c>
    </row>
    <row r="34">
      <c r="A34" t="n" s="3">
        <v>45905.63831018518</v>
      </c>
      <c r="B34" t="s" s="0">
        <v>18</v>
      </c>
      <c r="C34" t="s" s="0">
        <v>37</v>
      </c>
      <c r="D34" t="s" s="0">
        <v>63</v>
      </c>
      <c r="E34" t="s" s="0">
        <v>21</v>
      </c>
      <c r="F34" t="s" s="0">
        <v>52</v>
      </c>
      <c r="G34" t="s" s="0">
        <v>60</v>
      </c>
      <c r="H34" t="n" s="0">
        <v>948855.0</v>
      </c>
      <c r="I34" s="0">
        <f>1/COUNTIFS($H$5:$H$308,H34,$J$5:$J$308,1)</f>
      </c>
      <c r="J34" s="0">
        <f>IF(SUBTOTAL(103,H34) = 1, 1, 0)</f>
      </c>
      <c r="K34" t="n" s="0">
        <v>2025.0</v>
      </c>
      <c r="L34" t="s" s="0">
        <v>24</v>
      </c>
      <c r="M34" t="s" s="0">
        <v>57</v>
      </c>
      <c r="N34" t="s" s="0">
        <v>26</v>
      </c>
      <c r="O34" t="s" s="0">
        <v>89</v>
      </c>
      <c r="P34" t="s" s="0">
        <v>28</v>
      </c>
      <c r="Q34" t="n" s="0">
        <v>20.0</v>
      </c>
      <c r="R34" t="s" s="0">
        <v>29</v>
      </c>
    </row>
    <row r="35">
      <c r="A35" t="n" s="3">
        <v>45905.67431712963</v>
      </c>
      <c r="B35" t="s" s="0">
        <v>18</v>
      </c>
      <c r="C35" t="s" s="0">
        <v>19</v>
      </c>
      <c r="D35" t="s" s="0">
        <v>63</v>
      </c>
      <c r="E35" t="s" s="0">
        <v>21</v>
      </c>
      <c r="F35" t="s" s="0">
        <v>67</v>
      </c>
      <c r="G35" t="s" s="0">
        <v>96</v>
      </c>
      <c r="H35" t="n" s="0">
        <v>835252.0</v>
      </c>
      <c r="I35" s="0">
        <f>1/COUNTIFS($H$5:$H$308,H35,$J$5:$J$308,1)</f>
      </c>
      <c r="J35" s="0">
        <f>IF(SUBTOTAL(103,H35) = 1, 1, 0)</f>
      </c>
      <c r="K35" t="n" s="0">
        <v>2025.0</v>
      </c>
      <c r="L35" t="s" s="0">
        <v>24</v>
      </c>
      <c r="M35" t="s" s="0">
        <v>97</v>
      </c>
      <c r="N35" t="s" s="0">
        <v>34</v>
      </c>
      <c r="O35" t="s" s="0">
        <v>98</v>
      </c>
      <c r="P35" t="s" s="0">
        <v>36</v>
      </c>
      <c r="Q35" t="n" s="0">
        <v>20.0</v>
      </c>
      <c r="R35" t="s" s="0">
        <v>29</v>
      </c>
    </row>
    <row r="36">
      <c r="A36" t="n" s="3">
        <v>45908.62305555555</v>
      </c>
      <c r="B36" t="s" s="0">
        <v>18</v>
      </c>
      <c r="C36" t="s" s="0">
        <v>37</v>
      </c>
      <c r="D36" t="s" s="0">
        <v>99</v>
      </c>
      <c r="E36" t="s" s="0">
        <v>21</v>
      </c>
      <c r="F36" t="s" s="0">
        <v>52</v>
      </c>
      <c r="G36" t="s" s="0">
        <v>60</v>
      </c>
      <c r="H36" t="n" s="0">
        <v>843837.0</v>
      </c>
      <c r="I36" s="0">
        <f>1/COUNTIFS($H$5:$H$308,H36,$J$5:$J$308,1)</f>
      </c>
      <c r="J36" s="0">
        <f>IF(SUBTOTAL(103,H36) = 1, 1, 0)</f>
      </c>
      <c r="K36" t="n" s="0">
        <v>2025.0</v>
      </c>
      <c r="L36" t="s" s="0">
        <v>24</v>
      </c>
      <c r="M36" t="s" s="0">
        <v>33</v>
      </c>
      <c r="N36" t="s" s="0">
        <v>34</v>
      </c>
      <c r="O36" t="s" s="0">
        <v>35</v>
      </c>
      <c r="P36" t="s" s="0">
        <v>36</v>
      </c>
      <c r="Q36" t="n" s="0">
        <v>21.0</v>
      </c>
      <c r="R36" t="s" s="0">
        <v>29</v>
      </c>
    </row>
    <row r="37">
      <c r="A37" t="n" s="3">
        <v>45908.65789351852</v>
      </c>
      <c r="B37" t="s" s="0">
        <v>18</v>
      </c>
      <c r="C37" t="s" s="0">
        <v>37</v>
      </c>
      <c r="D37" t="s" s="0">
        <v>99</v>
      </c>
      <c r="E37" t="s" s="0">
        <v>21</v>
      </c>
      <c r="F37" t="s" s="0">
        <v>67</v>
      </c>
      <c r="G37" t="s" s="0">
        <v>68</v>
      </c>
      <c r="H37" t="n" s="0">
        <v>911285.0</v>
      </c>
      <c r="I37" s="0">
        <f>1/COUNTIFS($H$5:$H$308,H37,$J$5:$J$308,1)</f>
      </c>
      <c r="J37" s="0">
        <f>IF(SUBTOTAL(103,H37) = 1, 1, 0)</f>
      </c>
      <c r="K37" t="n" s="0">
        <v>2025.0</v>
      </c>
      <c r="L37" t="s" s="0">
        <v>24</v>
      </c>
      <c r="M37" t="s" s="0">
        <v>25</v>
      </c>
      <c r="N37" t="s" s="0">
        <v>26</v>
      </c>
      <c r="O37" t="s" s="0">
        <v>27</v>
      </c>
      <c r="P37" t="s" s="0">
        <v>36</v>
      </c>
      <c r="Q37" t="n" s="0">
        <v>20.0</v>
      </c>
      <c r="R37" t="s" s="0">
        <v>29</v>
      </c>
    </row>
    <row r="38">
      <c r="A38" t="n" s="3">
        <v>45908.658483796295</v>
      </c>
      <c r="B38" t="s" s="0">
        <v>100</v>
      </c>
      <c r="C38" t="s" s="0">
        <v>37</v>
      </c>
      <c r="D38" t="s" s="0">
        <v>101</v>
      </c>
      <c r="E38" t="s" s="0">
        <v>21</v>
      </c>
      <c r="F38" t="s" s="0">
        <v>52</v>
      </c>
      <c r="G38" t="s" s="0">
        <v>60</v>
      </c>
      <c r="H38" t="n" s="0">
        <v>998469.0</v>
      </c>
      <c r="I38" s="0">
        <f>1/COUNTIFS($H$5:$H$308,H38,$J$5:$J$308,1)</f>
      </c>
      <c r="J38" s="0">
        <f>IF(SUBTOTAL(103,H38) = 1, 1, 0)</f>
      </c>
      <c r="K38" t="n" s="0">
        <v>2025.0</v>
      </c>
      <c r="L38" t="s" s="0">
        <v>24</v>
      </c>
      <c r="M38" t="s" s="0">
        <v>102</v>
      </c>
      <c r="N38" t="s" s="0">
        <v>55</v>
      </c>
      <c r="O38" t="s" s="0">
        <v>103</v>
      </c>
      <c r="P38" t="s" s="0">
        <v>36</v>
      </c>
      <c r="Q38" t="n" s="0">
        <v>20.0</v>
      </c>
      <c r="R38" t="s" s="0">
        <v>29</v>
      </c>
    </row>
    <row r="39">
      <c r="A39" t="n" s="3">
        <v>45908.66878472222</v>
      </c>
      <c r="B39" t="s" s="0">
        <v>100</v>
      </c>
      <c r="C39" t="s" s="0">
        <v>37</v>
      </c>
      <c r="D39" t="s" s="0">
        <v>101</v>
      </c>
      <c r="E39" t="s" s="0">
        <v>21</v>
      </c>
      <c r="F39" t="s" s="0">
        <v>52</v>
      </c>
      <c r="G39" t="s" s="0">
        <v>60</v>
      </c>
      <c r="H39" t="n" s="0">
        <v>946997.0</v>
      </c>
      <c r="I39" s="0">
        <f>1/COUNTIFS($H$5:$H$308,H39,$J$5:$J$308,1)</f>
      </c>
      <c r="J39" s="0">
        <f>IF(SUBTOTAL(103,H39) = 1, 1, 0)</f>
      </c>
      <c r="K39" t="n" s="0">
        <v>2025.0</v>
      </c>
      <c r="L39" t="s" s="0">
        <v>24</v>
      </c>
      <c r="M39" t="s" s="0">
        <v>102</v>
      </c>
      <c r="N39" t="s" s="0">
        <v>58</v>
      </c>
      <c r="O39" t="s" s="0">
        <v>90</v>
      </c>
      <c r="P39" t="s" s="0">
        <v>28</v>
      </c>
      <c r="Q39" t="n" s="0">
        <v>29.0</v>
      </c>
      <c r="R39" t="s" s="0">
        <v>104</v>
      </c>
    </row>
    <row r="40">
      <c r="A40" t="n" s="3">
        <v>45908.69228009259</v>
      </c>
      <c r="B40" t="s" s="0">
        <v>18</v>
      </c>
      <c r="C40" t="s" s="0">
        <v>37</v>
      </c>
      <c r="D40" t="s" s="0">
        <v>99</v>
      </c>
      <c r="E40" t="s" s="0">
        <v>21</v>
      </c>
      <c r="F40" t="s" s="0">
        <v>22</v>
      </c>
      <c r="G40" t="s" s="0">
        <v>32</v>
      </c>
      <c r="H40" t="n" s="0">
        <v>848950.0</v>
      </c>
      <c r="I40" s="0">
        <f>1/COUNTIFS($H$5:$H$308,H40,$J$5:$J$308,1)</f>
      </c>
      <c r="J40" s="0">
        <f>IF(SUBTOTAL(103,H40) = 1, 1, 0)</f>
      </c>
      <c r="K40" t="n" s="0">
        <v>2025.0</v>
      </c>
      <c r="L40" t="s" s="0">
        <v>24</v>
      </c>
      <c r="M40" t="s" s="0">
        <v>33</v>
      </c>
      <c r="N40" t="s" s="0">
        <v>34</v>
      </c>
      <c r="O40" t="s" s="0">
        <v>35</v>
      </c>
      <c r="P40" t="s" s="0">
        <v>36</v>
      </c>
      <c r="Q40" t="n" s="0">
        <v>20.0</v>
      </c>
      <c r="R40" t="s" s="0">
        <v>29</v>
      </c>
    </row>
    <row r="41">
      <c r="A41" t="n" s="3">
        <v>45908.71121527778</v>
      </c>
      <c r="B41" t="s" s="0">
        <v>18</v>
      </c>
      <c r="C41" t="s" s="0">
        <v>19</v>
      </c>
      <c r="D41" t="s" s="0">
        <v>20</v>
      </c>
      <c r="E41" t="s" s="0">
        <v>21</v>
      </c>
      <c r="F41" t="s" s="0">
        <v>31</v>
      </c>
      <c r="G41" t="s" s="0">
        <v>105</v>
      </c>
      <c r="H41" t="n" s="0">
        <v>1031315.0</v>
      </c>
      <c r="I41" s="0">
        <f>1/COUNTIFS($H$5:$H$308,H41,$J$5:$J$308,1)</f>
      </c>
      <c r="J41" s="0">
        <f>IF(SUBTOTAL(103,H41) = 1, 1, 0)</f>
      </c>
      <c r="K41" t="n" s="0">
        <v>2025.0</v>
      </c>
      <c r="L41" t="s" s="0">
        <v>77</v>
      </c>
      <c r="M41" t="s" s="0">
        <v>78</v>
      </c>
      <c r="N41" t="s" s="0">
        <v>106</v>
      </c>
      <c r="O41" t="s" s="0">
        <v>19</v>
      </c>
      <c r="P41" t="s" s="0">
        <v>36</v>
      </c>
      <c r="Q41" t="n" s="0">
        <v>19.0</v>
      </c>
      <c r="R41" t="s" s="0">
        <v>29</v>
      </c>
    </row>
    <row r="42">
      <c r="A42" t="n" s="3">
        <v>45908.72521990741</v>
      </c>
      <c r="B42" t="s" s="0">
        <v>18</v>
      </c>
      <c r="C42" t="s" s="0">
        <v>19</v>
      </c>
      <c r="D42" t="s" s="0">
        <v>99</v>
      </c>
      <c r="E42" t="s" s="0">
        <v>21</v>
      </c>
      <c r="F42" t="s" s="0">
        <v>87</v>
      </c>
      <c r="G42" t="s" s="0">
        <v>88</v>
      </c>
      <c r="H42" t="n" s="0">
        <v>159961.0</v>
      </c>
      <c r="I42" s="0">
        <f>1/COUNTIFS($H$5:$H$308,H42,$J$5:$J$308,1)</f>
      </c>
      <c r="J42" s="0">
        <f>IF(SUBTOTAL(103,H42) = 1, 1, 0)</f>
      </c>
      <c r="K42" t="n" s="0">
        <v>2024.0</v>
      </c>
      <c r="L42" t="s" s="0">
        <v>24</v>
      </c>
      <c r="M42" t="s" s="0">
        <v>33</v>
      </c>
      <c r="N42" t="s" s="0">
        <v>107</v>
      </c>
      <c r="O42" t="s" s="0">
        <v>108</v>
      </c>
      <c r="P42" t="s" s="0">
        <v>36</v>
      </c>
      <c r="Q42" t="n" s="0">
        <v>37.0</v>
      </c>
      <c r="R42" t="s" s="0">
        <v>29</v>
      </c>
    </row>
    <row r="43">
      <c r="A43" t="n" s="3">
        <v>45908.72604166667</v>
      </c>
      <c r="B43" t="s" s="0">
        <v>18</v>
      </c>
      <c r="C43" t="s" s="0">
        <v>19</v>
      </c>
      <c r="D43" t="s" s="0">
        <v>99</v>
      </c>
      <c r="E43" t="s" s="0">
        <v>21</v>
      </c>
      <c r="F43" t="s" s="0">
        <v>38</v>
      </c>
      <c r="G43" t="s" s="0">
        <v>82</v>
      </c>
      <c r="H43" t="n" s="0">
        <v>640944.0</v>
      </c>
      <c r="I43" s="0">
        <f>1/COUNTIFS($H$5:$H$308,H43,$J$5:$J$308,1)</f>
      </c>
      <c r="J43" s="0">
        <f>IF(SUBTOTAL(103,H43) = 1, 1, 0)</f>
      </c>
      <c r="K43" t="n" s="0">
        <v>2024.0</v>
      </c>
      <c r="L43" t="s" s="0">
        <v>24</v>
      </c>
      <c r="M43" t="s" s="0">
        <v>25</v>
      </c>
      <c r="N43" t="s" s="0">
        <v>58</v>
      </c>
      <c r="O43" t="s" s="0">
        <v>109</v>
      </c>
      <c r="P43" t="s" s="0">
        <v>28</v>
      </c>
      <c r="Q43" t="n" s="0">
        <v>24.0</v>
      </c>
      <c r="R43" t="s" s="0">
        <v>29</v>
      </c>
    </row>
    <row r="44">
      <c r="A44" t="n" s="3">
        <v>45909.61255787037</v>
      </c>
      <c r="B44" t="s" s="0">
        <v>18</v>
      </c>
      <c r="C44" t="s" s="0">
        <v>37</v>
      </c>
      <c r="D44" t="s" s="0">
        <v>75</v>
      </c>
      <c r="E44" t="s" s="0">
        <v>21</v>
      </c>
      <c r="F44" t="s" s="0">
        <v>52</v>
      </c>
      <c r="G44" t="s" s="0">
        <v>60</v>
      </c>
      <c r="H44" t="n" s="0">
        <v>936656.0</v>
      </c>
      <c r="I44" s="0">
        <f>1/COUNTIFS($H$5:$H$308,H44,$J$5:$J$308,1)</f>
      </c>
      <c r="J44" s="0">
        <f>IF(SUBTOTAL(103,H44) = 1, 1, 0)</f>
      </c>
      <c r="K44" t="n" s="0">
        <v>2025.0</v>
      </c>
      <c r="L44" t="s" s="0">
        <v>24</v>
      </c>
      <c r="M44" t="s" s="0">
        <v>33</v>
      </c>
      <c r="N44" t="s" s="0">
        <v>58</v>
      </c>
      <c r="O44" t="s" s="0">
        <v>110</v>
      </c>
      <c r="P44" t="s" s="0">
        <v>36</v>
      </c>
      <c r="Q44" t="n" s="0">
        <v>22.0</v>
      </c>
      <c r="R44" t="s" s="0">
        <v>29</v>
      </c>
    </row>
    <row r="45">
      <c r="A45" t="n" s="3">
        <v>45909.63438657407</v>
      </c>
      <c r="B45" t="s" s="0">
        <v>18</v>
      </c>
      <c r="C45" t="s" s="0">
        <v>37</v>
      </c>
      <c r="D45" t="s" s="0">
        <v>99</v>
      </c>
      <c r="E45" t="s" s="0">
        <v>21</v>
      </c>
      <c r="F45" t="s" s="0">
        <v>31</v>
      </c>
      <c r="G45" t="s" s="0">
        <v>32</v>
      </c>
      <c r="H45" t="n" s="0">
        <v>950483.0</v>
      </c>
      <c r="I45" s="0">
        <f>1/COUNTIFS($H$5:$H$308,H45,$J$5:$J$308,1)</f>
      </c>
      <c r="J45" s="0">
        <f>IF(SUBTOTAL(103,H45) = 1, 1, 0)</f>
      </c>
      <c r="K45" t="n" s="0">
        <v>2024.0</v>
      </c>
      <c r="L45" t="s" s="0">
        <v>54</v>
      </c>
      <c r="M45" t="s" s="0">
        <v>54</v>
      </c>
      <c r="N45" t="s" s="0">
        <v>55</v>
      </c>
      <c r="O45" t="s" s="0">
        <v>111</v>
      </c>
      <c r="P45" t="s" s="0">
        <v>36</v>
      </c>
      <c r="Q45" t="n" s="0">
        <v>19.0</v>
      </c>
      <c r="R45" t="s" s="0">
        <v>29</v>
      </c>
    </row>
    <row r="46">
      <c r="A46" t="n" s="3">
        <v>45909.6668287037</v>
      </c>
      <c r="B46" t="s" s="0">
        <v>18</v>
      </c>
      <c r="C46" t="s" s="0">
        <v>37</v>
      </c>
      <c r="D46" t="s" s="0">
        <v>75</v>
      </c>
      <c r="E46" t="s" s="0">
        <v>21</v>
      </c>
      <c r="F46" t="s" s="0">
        <v>52</v>
      </c>
      <c r="G46" t="s" s="0">
        <v>86</v>
      </c>
      <c r="H46" t="n" s="0">
        <v>624649.0</v>
      </c>
      <c r="I46" s="0">
        <f>1/COUNTIFS($H$5:$H$308,H46,$J$5:$J$308,1)</f>
      </c>
      <c r="J46" s="0">
        <f>IF(SUBTOTAL(103,H46) = 1, 1, 0)</f>
      </c>
      <c r="K46" t="n" s="0">
        <v>2025.0</v>
      </c>
      <c r="L46" t="s" s="0">
        <v>24</v>
      </c>
      <c r="M46" t="s" s="0">
        <v>97</v>
      </c>
      <c r="N46" t="s" s="0">
        <v>62</v>
      </c>
      <c r="O46" t="s" s="0">
        <v>112</v>
      </c>
      <c r="P46" t="s" s="0">
        <v>28</v>
      </c>
      <c r="Q46" t="n" s="0">
        <v>23.0</v>
      </c>
      <c r="R46" t="s" s="0">
        <v>29</v>
      </c>
    </row>
    <row r="47">
      <c r="A47" t="n" s="3">
        <v>45909.66946759259</v>
      </c>
      <c r="B47" t="s" s="0">
        <v>18</v>
      </c>
      <c r="C47" t="s" s="0">
        <v>37</v>
      </c>
      <c r="D47" t="s" s="0">
        <v>99</v>
      </c>
      <c r="E47" t="s" s="0">
        <v>21</v>
      </c>
      <c r="F47" t="s" s="0">
        <v>52</v>
      </c>
      <c r="G47" t="s" s="0">
        <v>32</v>
      </c>
      <c r="H47" t="n" s="0">
        <v>864493.0</v>
      </c>
      <c r="I47" s="0">
        <f>1/COUNTIFS($H$5:$H$308,H47,$J$5:$J$308,1)</f>
      </c>
      <c r="J47" s="0">
        <f>IF(SUBTOTAL(103,H47) = 1, 1, 0)</f>
      </c>
      <c r="K47" t="n" s="0">
        <v>2025.0</v>
      </c>
      <c r="L47" t="s" s="0">
        <v>24</v>
      </c>
      <c r="M47" t="s" s="0">
        <v>33</v>
      </c>
      <c r="N47" t="s" s="0">
        <v>34</v>
      </c>
      <c r="O47" t="s" s="0">
        <v>44</v>
      </c>
      <c r="P47" t="s" s="0">
        <v>36</v>
      </c>
      <c r="Q47" t="n" s="0">
        <v>20.0</v>
      </c>
      <c r="R47" t="s" s="0">
        <v>29</v>
      </c>
    </row>
    <row r="48">
      <c r="A48" t="n" s="3">
        <v>45909.698275462964</v>
      </c>
      <c r="B48" t="s" s="0">
        <v>18</v>
      </c>
      <c r="C48" t="s" s="0">
        <v>37</v>
      </c>
      <c r="D48" t="s" s="0">
        <v>99</v>
      </c>
      <c r="E48" t="s" s="0">
        <v>21</v>
      </c>
      <c r="F48" t="s" s="0">
        <v>43</v>
      </c>
      <c r="G48" t="s" s="0">
        <v>32</v>
      </c>
      <c r="H48" t="n" s="0">
        <v>1033451.0</v>
      </c>
      <c r="I48" s="0">
        <f>1/COUNTIFS($H$5:$H$308,H48,$J$5:$J$308,1)</f>
      </c>
      <c r="J48" s="0">
        <f>IF(SUBTOTAL(103,H48) = 1, 1, 0)</f>
      </c>
      <c r="K48" t="n" s="0">
        <v>2025.0</v>
      </c>
      <c r="L48" t="s" s="0">
        <v>24</v>
      </c>
      <c r="M48" t="s" s="0">
        <v>25</v>
      </c>
      <c r="N48" t="s" s="0">
        <v>55</v>
      </c>
      <c r="O48" t="s" s="0">
        <v>27</v>
      </c>
      <c r="P48" t="s" s="0">
        <v>36</v>
      </c>
      <c r="Q48" t="n" s="0">
        <v>20.0</v>
      </c>
      <c r="R48" t="s" s="0">
        <v>29</v>
      </c>
    </row>
    <row r="49">
      <c r="A49" t="n" s="3">
        <v>45910.37400462963</v>
      </c>
      <c r="B49" t="s" s="0">
        <v>113</v>
      </c>
      <c r="C49" t="s" s="0">
        <v>37</v>
      </c>
      <c r="D49" t="s" s="0">
        <v>75</v>
      </c>
      <c r="E49" t="s" s="0">
        <v>21</v>
      </c>
      <c r="F49" t="s" s="0">
        <v>52</v>
      </c>
      <c r="G49" t="s" s="0">
        <v>32</v>
      </c>
      <c r="H49" t="n" s="0">
        <v>943508.0</v>
      </c>
      <c r="I49" s="0">
        <f>1/COUNTIFS($H$5:$H$308,H49,$J$5:$J$308,1)</f>
      </c>
      <c r="J49" s="0">
        <f>IF(SUBTOTAL(103,H49) = 1, 1, 0)</f>
      </c>
      <c r="K49" t="n" s="0">
        <v>2025.0</v>
      </c>
      <c r="L49" t="s" s="0">
        <v>24</v>
      </c>
      <c r="M49" t="s" s="0">
        <v>114</v>
      </c>
      <c r="N49" t="s" s="0">
        <v>26</v>
      </c>
      <c r="O49" t="s" s="0">
        <v>115</v>
      </c>
      <c r="P49" t="s" s="0">
        <v>36</v>
      </c>
      <c r="Q49" t="n" s="0">
        <v>19.0</v>
      </c>
      <c r="R49" t="s" s="0">
        <v>29</v>
      </c>
    </row>
    <row r="50">
      <c r="A50" t="n" s="3">
        <v>45910.42233796296</v>
      </c>
      <c r="B50" t="s" s="0">
        <v>18</v>
      </c>
      <c r="C50" t="s" s="0">
        <v>37</v>
      </c>
      <c r="D50" t="s" s="0">
        <v>99</v>
      </c>
      <c r="E50" t="s" s="0">
        <v>21</v>
      </c>
      <c r="F50" t="s" s="0">
        <v>22</v>
      </c>
      <c r="G50" t="s" s="0">
        <v>32</v>
      </c>
      <c r="H50" t="n" s="0">
        <v>989689.0</v>
      </c>
      <c r="I50" s="0">
        <f>1/COUNTIFS($H$5:$H$308,H50,$J$5:$J$308,1)</f>
      </c>
      <c r="J50" s="0">
        <f>IF(SUBTOTAL(103,H50) = 1, 1, 0)</f>
      </c>
      <c r="K50" t="n" s="0">
        <v>2024.0</v>
      </c>
      <c r="L50" t="s" s="0">
        <v>116</v>
      </c>
      <c r="M50" t="s" s="0">
        <v>116</v>
      </c>
      <c r="N50" t="s" s="0">
        <v>83</v>
      </c>
      <c r="O50" t="s" s="0">
        <v>19</v>
      </c>
      <c r="P50" t="s" s="0">
        <v>36</v>
      </c>
      <c r="Q50" t="n" s="0">
        <v>19.0</v>
      </c>
      <c r="R50" t="s" s="0">
        <v>29</v>
      </c>
    </row>
    <row r="51">
      <c r="A51" t="n" s="3">
        <v>45910.61685185185</v>
      </c>
      <c r="B51" t="s" s="0">
        <v>18</v>
      </c>
      <c r="C51" t="s" s="0">
        <v>19</v>
      </c>
      <c r="D51" t="s" s="0">
        <v>99</v>
      </c>
      <c r="E51" t="s" s="0">
        <v>21</v>
      </c>
      <c r="F51" t="s" s="0">
        <v>117</v>
      </c>
      <c r="G51" t="s" s="0">
        <v>118</v>
      </c>
      <c r="H51" t="n" s="0">
        <v>635905.0</v>
      </c>
      <c r="I51" s="0">
        <f>1/COUNTIFS($H$5:$H$308,H51,$J$5:$J$308,1)</f>
      </c>
      <c r="J51" s="0">
        <f>IF(SUBTOTAL(103,H51) = 1, 1, 0)</f>
      </c>
      <c r="K51" t="n" s="0">
        <v>2025.0</v>
      </c>
      <c r="L51" t="s" s="0">
        <v>24</v>
      </c>
      <c r="M51" t="s" s="0">
        <v>33</v>
      </c>
      <c r="N51" t="s" s="0">
        <v>70</v>
      </c>
      <c r="O51" t="s" s="0">
        <v>49</v>
      </c>
      <c r="P51" t="s" s="0">
        <v>36</v>
      </c>
      <c r="Q51" t="n" s="0">
        <v>23.0</v>
      </c>
      <c r="R51" t="s" s="0">
        <v>29</v>
      </c>
    </row>
    <row r="52">
      <c r="A52" t="n" s="3">
        <v>45910.648252314815</v>
      </c>
      <c r="B52" t="s" s="0">
        <v>18</v>
      </c>
      <c r="C52" t="s" s="0">
        <v>37</v>
      </c>
      <c r="D52" t="s" s="0">
        <v>99</v>
      </c>
      <c r="E52" t="s" s="0">
        <v>21</v>
      </c>
      <c r="F52" t="s" s="0">
        <v>22</v>
      </c>
      <c r="G52" t="s" s="0">
        <v>32</v>
      </c>
      <c r="H52" t="n" s="0">
        <v>693090.0</v>
      </c>
      <c r="I52" s="0">
        <f>1/COUNTIFS($H$5:$H$308,H52,$J$5:$J$308,1)</f>
      </c>
      <c r="J52" s="0">
        <f>IF(SUBTOTAL(103,H52) = 1, 1, 0)</f>
      </c>
      <c r="K52" t="n" s="0">
        <v>2025.0</v>
      </c>
      <c r="L52" t="s" s="0">
        <v>24</v>
      </c>
      <c r="M52" t="s" s="0">
        <v>33</v>
      </c>
      <c r="N52" t="s" s="0">
        <v>62</v>
      </c>
      <c r="O52" t="s" s="0">
        <v>74</v>
      </c>
      <c r="P52" t="s" s="0">
        <v>36</v>
      </c>
      <c r="Q52" t="n" s="0">
        <v>23.0</v>
      </c>
      <c r="R52" t="s" s="0">
        <v>29</v>
      </c>
    </row>
    <row r="53">
      <c r="A53" t="n" s="3">
        <v>45910.69541666667</v>
      </c>
      <c r="B53" t="s" s="0">
        <v>18</v>
      </c>
      <c r="C53" t="s" s="0">
        <v>37</v>
      </c>
      <c r="D53" t="s" s="0">
        <v>99</v>
      </c>
      <c r="E53" t="s" s="0">
        <v>21</v>
      </c>
      <c r="F53" t="s" s="0">
        <v>65</v>
      </c>
      <c r="G53" t="s" s="0">
        <v>119</v>
      </c>
      <c r="H53" t="n" s="0">
        <v>1000865.0</v>
      </c>
      <c r="I53" s="0">
        <f>1/COUNTIFS($H$5:$H$308,H53,$J$5:$J$308,1)</f>
      </c>
      <c r="J53" s="0">
        <f>IF(SUBTOTAL(103,H53) = 1, 1, 0)</f>
      </c>
      <c r="K53" t="n" s="0">
        <v>2025.0</v>
      </c>
      <c r="L53" t="s" s="0">
        <v>24</v>
      </c>
      <c r="M53" t="s" s="0">
        <v>25</v>
      </c>
      <c r="N53" t="s" s="0">
        <v>55</v>
      </c>
      <c r="O53" t="s" s="0">
        <v>120</v>
      </c>
      <c r="P53" t="s" s="0">
        <v>28</v>
      </c>
      <c r="Q53" t="n" s="0">
        <v>19.0</v>
      </c>
      <c r="R53" t="s" s="0">
        <v>29</v>
      </c>
    </row>
    <row r="54">
      <c r="A54" t="n" s="3">
        <v>45912.42085648148</v>
      </c>
      <c r="B54" t="s" s="0">
        <v>18</v>
      </c>
      <c r="C54" t="s" s="0">
        <v>37</v>
      </c>
      <c r="D54" t="s" s="0">
        <v>99</v>
      </c>
      <c r="E54" t="s" s="0">
        <v>21</v>
      </c>
      <c r="F54" t="s" s="0">
        <v>67</v>
      </c>
      <c r="G54" t="s" s="0">
        <v>96</v>
      </c>
      <c r="H54" t="n" s="0">
        <v>767332.0</v>
      </c>
      <c r="I54" s="0">
        <f>1/COUNTIFS($H$5:$H$308,H54,$J$5:$J$308,1)</f>
      </c>
      <c r="J54" s="0">
        <f>IF(SUBTOTAL(103,H54) = 1, 1, 0)</f>
      </c>
      <c r="K54" t="n" s="0">
        <v>2025.0</v>
      </c>
      <c r="L54" t="s" s="0">
        <v>24</v>
      </c>
      <c r="M54" t="s" s="0">
        <v>33</v>
      </c>
      <c r="N54" t="s" s="0">
        <v>64</v>
      </c>
      <c r="O54" t="s" s="0">
        <v>121</v>
      </c>
      <c r="P54" t="s" s="0">
        <v>36</v>
      </c>
      <c r="Q54" t="n" s="0">
        <v>22.0</v>
      </c>
      <c r="R54" t="s" s="0">
        <v>29</v>
      </c>
    </row>
    <row r="55">
      <c r="A55" t="n" s="3">
        <v>45912.50074074074</v>
      </c>
      <c r="B55" t="s" s="0">
        <v>18</v>
      </c>
      <c r="C55" t="s" s="0">
        <v>37</v>
      </c>
      <c r="D55" t="s" s="0">
        <v>99</v>
      </c>
      <c r="E55" t="s" s="0">
        <v>21</v>
      </c>
      <c r="F55" t="s" s="0">
        <v>67</v>
      </c>
      <c r="G55" t="s" s="0">
        <v>32</v>
      </c>
      <c r="H55" t="n" s="0">
        <v>922772.0</v>
      </c>
      <c r="I55" s="0">
        <f>1/COUNTIFS($H$5:$H$308,H55,$J$5:$J$308,1)</f>
      </c>
      <c r="J55" s="0">
        <f>IF(SUBTOTAL(103,H55) = 1, 1, 0)</f>
      </c>
      <c r="K55" t="n" s="0">
        <v>2025.0</v>
      </c>
      <c r="L55" t="s" s="0">
        <v>24</v>
      </c>
      <c r="M55" t="s" s="0">
        <v>97</v>
      </c>
      <c r="N55" t="s" s="0">
        <v>26</v>
      </c>
      <c r="O55" t="s" s="0">
        <v>98</v>
      </c>
      <c r="P55" t="s" s="0">
        <v>36</v>
      </c>
      <c r="Q55" t="n" s="0">
        <v>19.0</v>
      </c>
      <c r="R55" t="s" s="0">
        <v>29</v>
      </c>
    </row>
    <row r="56">
      <c r="A56" t="n" s="3">
        <v>45912.53189814815</v>
      </c>
      <c r="B56" t="s" s="0">
        <v>18</v>
      </c>
      <c r="C56" t="s" s="0">
        <v>19</v>
      </c>
      <c r="D56" t="s" s="0">
        <v>63</v>
      </c>
      <c r="E56" t="s" s="0">
        <v>21</v>
      </c>
      <c r="F56" t="s" s="0">
        <v>65</v>
      </c>
      <c r="G56" t="s" s="0">
        <v>32</v>
      </c>
      <c r="H56" t="n" s="0">
        <v>838829.0</v>
      </c>
      <c r="I56" s="0">
        <f>1/COUNTIFS($H$5:$H$308,H56,$J$5:$J$308,1)</f>
      </c>
      <c r="J56" s="0">
        <f>IF(SUBTOTAL(103,H56) = 1, 1, 0)</f>
      </c>
      <c r="K56" t="n" s="0">
        <v>2025.0</v>
      </c>
      <c r="L56" t="s" s="0">
        <v>24</v>
      </c>
      <c r="M56" t="s" s="0">
        <v>33</v>
      </c>
      <c r="N56" t="s" s="0">
        <v>34</v>
      </c>
      <c r="O56" t="s" s="0">
        <v>44</v>
      </c>
      <c r="P56" t="s" s="0">
        <v>36</v>
      </c>
      <c r="Q56" t="n" s="0">
        <v>20.0</v>
      </c>
      <c r="R56" t="s" s="0">
        <v>29</v>
      </c>
    </row>
    <row r="57">
      <c r="A57" t="n" s="3">
        <v>45915.437430555554</v>
      </c>
      <c r="B57" t="s" s="0">
        <v>18</v>
      </c>
      <c r="C57" t="s" s="0">
        <v>51</v>
      </c>
      <c r="D57" t="s" s="0">
        <v>63</v>
      </c>
      <c r="E57" t="s" s="0">
        <v>21</v>
      </c>
      <c r="F57" t="s" s="0">
        <v>67</v>
      </c>
      <c r="G57" t="s" s="0">
        <v>122</v>
      </c>
      <c r="H57" t="n" s="0">
        <v>862924.0</v>
      </c>
      <c r="I57" s="0">
        <f>1/COUNTIFS($H$5:$H$308,H57,$J$5:$J$308,1)</f>
      </c>
      <c r="J57" s="0">
        <f>IF(SUBTOTAL(103,H57) = 1, 1, 0)</f>
      </c>
      <c r="K57" t="n" s="0">
        <v>2025.0</v>
      </c>
      <c r="L57" t="s" s="0">
        <v>24</v>
      </c>
      <c r="M57" t="s" s="0">
        <v>33</v>
      </c>
      <c r="N57" t="s" s="0">
        <v>34</v>
      </c>
      <c r="O57" t="s" s="0">
        <v>35</v>
      </c>
      <c r="P57" t="s" s="0">
        <v>36</v>
      </c>
      <c r="Q57" t="n" s="0">
        <v>20.0</v>
      </c>
      <c r="R57" t="s" s="0">
        <v>29</v>
      </c>
    </row>
    <row r="58">
      <c r="A58" t="n" s="3">
        <v>45915.45181712963</v>
      </c>
      <c r="B58" t="s" s="0">
        <v>18</v>
      </c>
      <c r="C58" t="s" s="0">
        <v>37</v>
      </c>
      <c r="D58" t="s" s="0">
        <v>99</v>
      </c>
      <c r="E58" t="s" s="0">
        <v>21</v>
      </c>
      <c r="F58" t="s" s="0">
        <v>31</v>
      </c>
      <c r="G58" t="s" s="0">
        <v>32</v>
      </c>
      <c r="H58" t="n" s="0">
        <v>1011447.0</v>
      </c>
      <c r="I58" s="0">
        <f>1/COUNTIFS($H$5:$H$308,H58,$J$5:$J$308,1)</f>
      </c>
      <c r="J58" s="0">
        <f>IF(SUBTOTAL(103,H58) = 1, 1, 0)</f>
      </c>
      <c r="K58" t="n" s="0">
        <v>2025.0</v>
      </c>
      <c r="L58" t="s" s="0">
        <v>24</v>
      </c>
      <c r="M58" t="s" s="0">
        <v>123</v>
      </c>
      <c r="N58" t="s" s="0">
        <v>55</v>
      </c>
      <c r="O58" t="s" s="0">
        <v>124</v>
      </c>
      <c r="P58" t="s" s="0">
        <v>36</v>
      </c>
      <c r="Q58" t="n" s="0">
        <v>19.0</v>
      </c>
      <c r="R58" t="s" s="0">
        <v>29</v>
      </c>
    </row>
    <row r="59">
      <c r="A59" t="n" s="3">
        <v>45915.485868055555</v>
      </c>
      <c r="B59" t="s" s="0">
        <v>18</v>
      </c>
      <c r="C59" t="s" s="0">
        <v>37</v>
      </c>
      <c r="D59" t="s" s="0">
        <v>99</v>
      </c>
      <c r="E59" t="s" s="0">
        <v>21</v>
      </c>
      <c r="F59" t="s" s="0">
        <v>22</v>
      </c>
      <c r="G59" t="s" s="0">
        <v>32</v>
      </c>
      <c r="H59" t="n" s="0">
        <v>749952.0</v>
      </c>
      <c r="I59" s="0">
        <f>1/COUNTIFS($H$5:$H$308,H59,$J$5:$J$308,1)</f>
      </c>
      <c r="J59" s="0">
        <f>IF(SUBTOTAL(103,H59) = 1, 1, 0)</f>
      </c>
      <c r="K59" t="n" s="0">
        <v>2023.0</v>
      </c>
      <c r="L59" t="s" s="0">
        <v>24</v>
      </c>
      <c r="M59" t="s" s="0">
        <v>33</v>
      </c>
      <c r="N59" t="s" s="0">
        <v>34</v>
      </c>
      <c r="O59" t="s" s="0">
        <v>125</v>
      </c>
      <c r="P59" t="s" s="0">
        <v>36</v>
      </c>
      <c r="Q59" t="n" s="0">
        <v>22.0</v>
      </c>
      <c r="R59" t="s" s="0">
        <v>29</v>
      </c>
    </row>
    <row r="60">
      <c r="A60" t="n" s="3">
        <v>45915.48663194444</v>
      </c>
      <c r="B60" t="s" s="0">
        <v>18</v>
      </c>
      <c r="C60" t="s" s="0">
        <v>37</v>
      </c>
      <c r="D60" t="s" s="0">
        <v>99</v>
      </c>
      <c r="E60" t="s" s="0">
        <v>21</v>
      </c>
      <c r="F60" t="s" s="0">
        <v>67</v>
      </c>
      <c r="G60" t="s" s="0">
        <v>32</v>
      </c>
      <c r="H60" t="n" s="0">
        <v>771629.0</v>
      </c>
      <c r="I60" s="0">
        <f>1/COUNTIFS($H$5:$H$308,H60,$J$5:$J$308,1)</f>
      </c>
      <c r="J60" s="0">
        <f>IF(SUBTOTAL(103,H60) = 1, 1, 0)</f>
      </c>
      <c r="K60" t="n" s="0">
        <v>2025.0</v>
      </c>
      <c r="L60" t="s" s="0">
        <v>24</v>
      </c>
      <c r="M60" t="s" s="0">
        <v>33</v>
      </c>
      <c r="N60" t="s" s="0">
        <v>95</v>
      </c>
      <c r="O60" t="s" s="0">
        <v>110</v>
      </c>
      <c r="P60" t="s" s="0">
        <v>28</v>
      </c>
      <c r="Q60" t="n" s="0">
        <v>20.0</v>
      </c>
      <c r="R60" t="s" s="0">
        <v>29</v>
      </c>
    </row>
    <row r="61">
      <c r="A61" t="n" s="3">
        <v>45915.619837962964</v>
      </c>
      <c r="B61" t="s" s="0">
        <v>100</v>
      </c>
      <c r="C61" t="s" s="0">
        <v>37</v>
      </c>
      <c r="D61" t="s" s="0">
        <v>101</v>
      </c>
      <c r="E61" t="s" s="0">
        <v>21</v>
      </c>
      <c r="F61" t="s" s="0">
        <v>52</v>
      </c>
      <c r="G61" t="s" s="0">
        <v>126</v>
      </c>
      <c r="H61" t="n" s="0">
        <v>1000706.0</v>
      </c>
      <c r="I61" s="0">
        <f>1/COUNTIFS($H$5:$H$308,H61,$J$5:$J$308,1)</f>
      </c>
      <c r="J61" s="0">
        <f>IF(SUBTOTAL(103,H61) = 1, 1, 0)</f>
      </c>
      <c r="K61" t="n" s="0">
        <v>2025.0</v>
      </c>
      <c r="L61" t="s" s="0">
        <v>24</v>
      </c>
      <c r="M61" t="s" s="0">
        <v>102</v>
      </c>
      <c r="N61" t="s" s="0">
        <v>55</v>
      </c>
      <c r="O61" t="s" s="0">
        <v>127</v>
      </c>
      <c r="P61" t="s" s="0">
        <v>36</v>
      </c>
      <c r="Q61" t="n" s="0">
        <v>23.0</v>
      </c>
      <c r="R61" t="s" s="0">
        <v>29</v>
      </c>
    </row>
    <row r="62">
      <c r="A62" t="n" s="3">
        <v>45915.62603009259</v>
      </c>
      <c r="B62" t="s" s="0">
        <v>100</v>
      </c>
      <c r="C62" t="s" s="0">
        <v>19</v>
      </c>
      <c r="D62" t="s" s="0">
        <v>101</v>
      </c>
      <c r="E62" t="s" s="0">
        <v>21</v>
      </c>
      <c r="F62" t="s" s="0">
        <v>22</v>
      </c>
      <c r="G62" t="s" s="0">
        <v>128</v>
      </c>
      <c r="H62" t="n" s="0">
        <v>946997.0</v>
      </c>
      <c r="I62" s="0">
        <f>1/COUNTIFS($H$5:$H$308,H62,$J$5:$J$308,1)</f>
      </c>
      <c r="J62" s="0">
        <f>IF(SUBTOTAL(103,H62) = 1, 1, 0)</f>
      </c>
      <c r="K62" t="n" s="0">
        <v>2025.0</v>
      </c>
      <c r="L62" t="s" s="0">
        <v>24</v>
      </c>
      <c r="M62" t="s" s="0">
        <v>102</v>
      </c>
      <c r="N62" t="s" s="0">
        <v>58</v>
      </c>
      <c r="O62" t="s" s="0">
        <v>90</v>
      </c>
      <c r="P62" t="s" s="0">
        <v>28</v>
      </c>
      <c r="Q62" t="n" s="0">
        <v>29.0</v>
      </c>
      <c r="R62" t="s" s="0">
        <v>104</v>
      </c>
    </row>
    <row r="63">
      <c r="A63" t="n" s="3">
        <v>45915.66336805555</v>
      </c>
      <c r="B63" t="s" s="0">
        <v>100</v>
      </c>
      <c r="C63" t="s" s="0">
        <v>37</v>
      </c>
      <c r="D63" t="s" s="0">
        <v>101</v>
      </c>
      <c r="E63" t="s" s="0">
        <v>21</v>
      </c>
      <c r="F63" t="s" s="0">
        <v>52</v>
      </c>
      <c r="G63" t="s" s="0">
        <v>86</v>
      </c>
      <c r="H63" t="n" s="0">
        <v>932813.0</v>
      </c>
      <c r="I63" s="0">
        <f>1/COUNTIFS($H$5:$H$308,H63,$J$5:$J$308,1)</f>
      </c>
      <c r="J63" s="0">
        <f>IF(SUBTOTAL(103,H63) = 1, 1, 0)</f>
      </c>
      <c r="K63" t="n" s="0">
        <v>2025.0</v>
      </c>
      <c r="L63" t="s" s="0">
        <v>24</v>
      </c>
      <c r="M63" t="s" s="0">
        <v>102</v>
      </c>
      <c r="N63" t="s" s="0">
        <v>26</v>
      </c>
      <c r="O63" t="s" s="0">
        <v>129</v>
      </c>
      <c r="P63" t="s" s="0">
        <v>36</v>
      </c>
      <c r="Q63" t="n" s="0">
        <v>19.0</v>
      </c>
      <c r="R63" t="s" s="0">
        <v>29</v>
      </c>
    </row>
    <row r="64">
      <c r="A64" t="n" s="3">
        <v>45917.46875</v>
      </c>
      <c r="B64" t="s" s="0">
        <v>113</v>
      </c>
      <c r="C64" t="s" s="0">
        <v>37</v>
      </c>
      <c r="D64" t="s" s="0">
        <v>75</v>
      </c>
      <c r="E64" t="s" s="0">
        <v>21</v>
      </c>
      <c r="F64" t="s" s="0">
        <v>65</v>
      </c>
      <c r="G64" t="s" s="0">
        <v>66</v>
      </c>
      <c r="H64" t="n" s="0">
        <v>939295.0</v>
      </c>
      <c r="I64" s="0">
        <f>1/COUNTIFS($H$5:$H$308,H64,$J$5:$J$308,1)</f>
      </c>
      <c r="J64" s="0">
        <f>IF(SUBTOTAL(103,H64) = 1, 1, 0)</f>
      </c>
      <c r="K64" t="n" s="0">
        <v>2025.0</v>
      </c>
      <c r="L64" t="s" s="0">
        <v>24</v>
      </c>
      <c r="M64" t="s" s="0">
        <v>114</v>
      </c>
      <c r="N64" t="s" s="0">
        <v>26</v>
      </c>
      <c r="O64" t="s" s="0">
        <v>115</v>
      </c>
      <c r="P64" t="s" s="0">
        <v>36</v>
      </c>
      <c r="Q64" t="n" s="0">
        <v>20.0</v>
      </c>
      <c r="R64" t="s" s="0">
        <v>29</v>
      </c>
    </row>
    <row r="65">
      <c r="A65" t="n" s="3">
        <v>45917.470821759256</v>
      </c>
      <c r="B65" t="s" s="0">
        <v>18</v>
      </c>
      <c r="C65" t="s" s="0">
        <v>37</v>
      </c>
      <c r="D65" t="s" s="0">
        <v>99</v>
      </c>
      <c r="E65" t="s" s="0">
        <v>21</v>
      </c>
      <c r="F65" t="s" s="0">
        <v>67</v>
      </c>
      <c r="G65" t="s" s="0">
        <v>68</v>
      </c>
      <c r="H65" t="n" s="0">
        <v>851046.0</v>
      </c>
      <c r="I65" s="0">
        <f>1/COUNTIFS($H$5:$H$308,H65,$J$5:$J$308,1)</f>
      </c>
      <c r="J65" s="0">
        <f>IF(SUBTOTAL(103,H65) = 1, 1, 0)</f>
      </c>
      <c r="K65" t="n" s="0">
        <v>2025.0</v>
      </c>
      <c r="L65" t="s" s="0">
        <v>24</v>
      </c>
      <c r="M65" t="s" s="0">
        <v>33</v>
      </c>
      <c r="N65" t="s" s="0">
        <v>34</v>
      </c>
      <c r="O65" t="s" s="0">
        <v>130</v>
      </c>
      <c r="P65" t="s" s="0">
        <v>36</v>
      </c>
      <c r="Q65" t="n" s="0">
        <v>20.0</v>
      </c>
      <c r="R65" t="s" s="0">
        <v>29</v>
      </c>
    </row>
    <row r="66">
      <c r="A66" t="n" s="3">
        <v>45917.375</v>
      </c>
      <c r="B66" t="s" s="0">
        <v>113</v>
      </c>
      <c r="C66" t="s" s="0">
        <v>37</v>
      </c>
      <c r="D66" t="s" s="0">
        <v>75</v>
      </c>
      <c r="E66" t="s" s="0">
        <v>21</v>
      </c>
      <c r="F66" t="s" s="0">
        <v>52</v>
      </c>
      <c r="G66" t="s" s="0">
        <v>53</v>
      </c>
      <c r="H66" t="n" s="0">
        <v>920639.0</v>
      </c>
      <c r="I66" s="0">
        <f>1/COUNTIFS($H$5:$H$308,H66,$J$5:$J$308,1)</f>
      </c>
      <c r="J66" s="0">
        <f>IF(SUBTOTAL(103,H66) = 1, 1, 0)</f>
      </c>
      <c r="K66" t="n" s="0">
        <v>2025.0</v>
      </c>
      <c r="L66" t="s" s="0">
        <v>24</v>
      </c>
      <c r="M66" t="s" s="0">
        <v>131</v>
      </c>
      <c r="N66" t="s" s="0">
        <v>26</v>
      </c>
      <c r="O66" t="s" s="0">
        <v>61</v>
      </c>
      <c r="P66" t="s" s="0">
        <v>36</v>
      </c>
      <c r="Q66" t="n" s="0">
        <v>22.0</v>
      </c>
      <c r="R66" t="s" s="0">
        <v>29</v>
      </c>
    </row>
    <row r="67">
      <c r="A67" t="n" s="3">
        <v>45917.5</v>
      </c>
      <c r="B67" t="s" s="0">
        <v>113</v>
      </c>
      <c r="C67" t="s" s="0">
        <v>37</v>
      </c>
      <c r="D67" t="s" s="0">
        <v>75</v>
      </c>
      <c r="E67" t="s" s="0">
        <v>21</v>
      </c>
      <c r="F67" t="s" s="0">
        <v>52</v>
      </c>
      <c r="G67" t="s" s="0">
        <v>60</v>
      </c>
      <c r="H67" t="n" s="0">
        <v>915334.0</v>
      </c>
      <c r="I67" s="0">
        <f>1/COUNTIFS($H$5:$H$308,H67,$J$5:$J$308,1)</f>
      </c>
      <c r="J67" s="0">
        <f>IF(SUBTOTAL(103,H67) = 1, 1, 0)</f>
      </c>
      <c r="K67" t="n" s="0">
        <v>2025.0</v>
      </c>
      <c r="L67" t="s" s="0">
        <v>24</v>
      </c>
      <c r="M67" t="s" s="0">
        <v>114</v>
      </c>
      <c r="N67" t="s" s="0">
        <v>26</v>
      </c>
      <c r="O67" t="s" s="0">
        <v>115</v>
      </c>
      <c r="P67" t="s" s="0">
        <v>28</v>
      </c>
      <c r="Q67" t="n" s="0">
        <v>20.0</v>
      </c>
      <c r="R67" t="s" s="0">
        <v>29</v>
      </c>
    </row>
    <row r="68">
      <c r="A68" t="n" s="3">
        <v>45917.517696759256</v>
      </c>
      <c r="B68" t="s" s="0">
        <v>18</v>
      </c>
      <c r="C68" t="s" s="0">
        <v>37</v>
      </c>
      <c r="D68" t="s" s="0">
        <v>99</v>
      </c>
      <c r="E68" t="s" s="0">
        <v>21</v>
      </c>
      <c r="F68" t="s" s="0">
        <v>52</v>
      </c>
      <c r="G68" t="s" s="0">
        <v>32</v>
      </c>
      <c r="H68" t="n" s="0">
        <v>846602.0</v>
      </c>
      <c r="I68" s="0">
        <f>1/COUNTIFS($H$5:$H$308,H68,$J$5:$J$308,1)</f>
      </c>
      <c r="J68" s="0">
        <f>IF(SUBTOTAL(103,H68) = 1, 1, 0)</f>
      </c>
      <c r="K68" t="n" s="0">
        <v>2025.0</v>
      </c>
      <c r="L68" t="s" s="0">
        <v>24</v>
      </c>
      <c r="M68" t="s" s="0">
        <v>123</v>
      </c>
      <c r="N68" t="s" s="0">
        <v>34</v>
      </c>
      <c r="O68" t="s" s="0">
        <v>124</v>
      </c>
      <c r="P68" t="s" s="0">
        <v>36</v>
      </c>
      <c r="Q68" t="n" s="0">
        <v>20.0</v>
      </c>
      <c r="R68" t="s" s="0">
        <v>29</v>
      </c>
    </row>
    <row r="69">
      <c r="A69" t="n" s="3">
        <v>45917.53125</v>
      </c>
      <c r="B69" t="s" s="0">
        <v>113</v>
      </c>
      <c r="C69" t="s" s="0">
        <v>37</v>
      </c>
      <c r="D69" t="s" s="0">
        <v>75</v>
      </c>
      <c r="E69" t="s" s="0">
        <v>21</v>
      </c>
      <c r="F69" t="s" s="0">
        <v>52</v>
      </c>
      <c r="G69" t="s" s="0">
        <v>86</v>
      </c>
      <c r="H69" t="n" s="0">
        <v>786742.0</v>
      </c>
      <c r="I69" s="0">
        <f>1/COUNTIFS($H$5:$H$308,H69,$J$5:$J$308,1)</f>
      </c>
      <c r="J69" s="0">
        <f>IF(SUBTOTAL(103,H69) = 1, 1, 0)</f>
      </c>
      <c r="K69" t="n" s="0">
        <v>2025.0</v>
      </c>
      <c r="L69" t="s" s="0">
        <v>24</v>
      </c>
      <c r="M69" t="s" s="0">
        <v>97</v>
      </c>
      <c r="N69" t="s" s="0">
        <v>64</v>
      </c>
      <c r="O69" t="s" s="0">
        <v>112</v>
      </c>
      <c r="P69" t="s" s="0">
        <v>28</v>
      </c>
      <c r="Q69" t="n" s="0">
        <v>21.0</v>
      </c>
      <c r="R69" t="s" s="0">
        <v>132</v>
      </c>
    </row>
    <row r="70">
      <c r="A70" t="n" s="3">
        <v>45917.622708333336</v>
      </c>
      <c r="B70" t="s" s="0">
        <v>18</v>
      </c>
      <c r="C70" t="s" s="0">
        <v>37</v>
      </c>
      <c r="D70" t="s" s="0">
        <v>99</v>
      </c>
      <c r="E70" t="s" s="0">
        <v>21</v>
      </c>
      <c r="F70" t="s" s="0">
        <v>65</v>
      </c>
      <c r="G70" t="s" s="0">
        <v>32</v>
      </c>
      <c r="H70" t="n" s="0">
        <v>873601.0</v>
      </c>
      <c r="I70" s="0">
        <f>1/COUNTIFS($H$5:$H$308,H70,$J$5:$J$308,1)</f>
      </c>
      <c r="J70" s="0">
        <f>IF(SUBTOTAL(103,H70) = 1, 1, 0)</f>
      </c>
      <c r="K70" t="n" s="0">
        <v>2025.0</v>
      </c>
      <c r="L70" t="s" s="0">
        <v>24</v>
      </c>
      <c r="M70" t="s" s="0">
        <v>57</v>
      </c>
      <c r="N70" t="s" s="0">
        <v>58</v>
      </c>
      <c r="O70" t="s" s="0">
        <v>133</v>
      </c>
      <c r="P70" t="s" s="0">
        <v>36</v>
      </c>
      <c r="Q70" t="n" s="0">
        <v>25.0</v>
      </c>
      <c r="R70" t="s" s="0">
        <v>104</v>
      </c>
    </row>
    <row r="71">
      <c r="A71" t="n" s="3">
        <v>45917.65996527778</v>
      </c>
      <c r="B71" t="s" s="0">
        <v>18</v>
      </c>
      <c r="C71" t="s" s="0">
        <v>37</v>
      </c>
      <c r="D71" t="s" s="0">
        <v>99</v>
      </c>
      <c r="E71" t="s" s="0">
        <v>21</v>
      </c>
      <c r="F71" t="s" s="0">
        <v>67</v>
      </c>
      <c r="G71" t="s" s="0">
        <v>32</v>
      </c>
      <c r="H71" t="n" s="0">
        <v>958491.0</v>
      </c>
      <c r="I71" s="0">
        <f>1/COUNTIFS($H$5:$H$308,H71,$J$5:$J$308,1)</f>
      </c>
      <c r="J71" s="0">
        <f>IF(SUBTOTAL(103,H71) = 1, 1, 0)</f>
      </c>
      <c r="K71" t="n" s="0">
        <v>2025.0</v>
      </c>
      <c r="L71" t="s" s="0">
        <v>24</v>
      </c>
      <c r="M71" t="s" s="0">
        <v>33</v>
      </c>
      <c r="N71" t="s" s="0">
        <v>26</v>
      </c>
      <c r="O71" t="s" s="0">
        <v>85</v>
      </c>
      <c r="P71" t="s" s="0">
        <v>36</v>
      </c>
      <c r="Q71" t="n" s="0">
        <v>19.0</v>
      </c>
      <c r="R71" t="s" s="0">
        <v>29</v>
      </c>
    </row>
    <row r="72">
      <c r="A72" t="n" s="3">
        <v>45919.454039351855</v>
      </c>
      <c r="B72" t="s" s="0">
        <v>18</v>
      </c>
      <c r="C72" t="s" s="0">
        <v>37</v>
      </c>
      <c r="D72" t="s" s="0">
        <v>99</v>
      </c>
      <c r="E72" t="s" s="0">
        <v>21</v>
      </c>
      <c r="F72" t="s" s="0">
        <v>117</v>
      </c>
      <c r="G72" t="s" s="0">
        <v>118</v>
      </c>
      <c r="H72" t="n" s="0">
        <v>945378.0</v>
      </c>
      <c r="I72" s="0">
        <f>1/COUNTIFS($H$5:$H$308,H72,$J$5:$J$308,1)</f>
      </c>
      <c r="J72" s="0">
        <f>IF(SUBTOTAL(103,H72) = 1, 1, 0)</f>
      </c>
      <c r="K72" t="n" s="0">
        <v>2025.0</v>
      </c>
      <c r="L72" t="s" s="0">
        <v>134</v>
      </c>
      <c r="M72" t="s" s="0">
        <v>134</v>
      </c>
      <c r="N72" t="s" s="0">
        <v>55</v>
      </c>
      <c r="O72" t="s" s="0">
        <v>19</v>
      </c>
      <c r="P72" t="s" s="0">
        <v>36</v>
      </c>
      <c r="Q72" t="n" s="0">
        <v>19.0</v>
      </c>
      <c r="R72" t="s" s="0">
        <v>29</v>
      </c>
    </row>
    <row r="73">
      <c r="A73" t="n" s="3">
        <v>45919.4375</v>
      </c>
      <c r="B73" t="s" s="0">
        <v>113</v>
      </c>
      <c r="C73" t="s" s="0">
        <v>37</v>
      </c>
      <c r="D73" t="s" s="0">
        <v>75</v>
      </c>
      <c r="E73" t="s" s="0">
        <v>21</v>
      </c>
      <c r="F73" t="s" s="0">
        <v>43</v>
      </c>
      <c r="G73" t="s" s="0">
        <v>135</v>
      </c>
      <c r="H73" t="n" s="0">
        <v>767873.0</v>
      </c>
      <c r="I73" s="0">
        <f>1/COUNTIFS($H$5:$H$308,H73,$J$5:$J$308,1)</f>
      </c>
      <c r="J73" s="0">
        <f>IF(SUBTOTAL(103,H73) = 1, 1, 0)</f>
      </c>
      <c r="K73" t="n" s="0">
        <v>2025.0</v>
      </c>
      <c r="L73" t="s" s="0">
        <v>24</v>
      </c>
      <c r="M73" t="s" s="0">
        <v>131</v>
      </c>
      <c r="N73" t="s" s="0">
        <v>64</v>
      </c>
      <c r="O73" t="s" s="0">
        <v>61</v>
      </c>
      <c r="P73" t="s" s="0">
        <v>36</v>
      </c>
      <c r="Q73" t="n" s="0">
        <v>21.0</v>
      </c>
      <c r="R73" t="s" s="0">
        <v>29</v>
      </c>
    </row>
    <row r="74">
      <c r="A74" t="n" s="3">
        <v>45919.458333333336</v>
      </c>
      <c r="B74" t="s" s="0">
        <v>113</v>
      </c>
      <c r="C74" t="s" s="0">
        <v>37</v>
      </c>
      <c r="D74" t="s" s="0">
        <v>75</v>
      </c>
      <c r="E74" t="s" s="0">
        <v>21</v>
      </c>
      <c r="F74" t="s" s="0">
        <v>43</v>
      </c>
      <c r="G74" t="s" s="0">
        <v>32</v>
      </c>
      <c r="H74" t="n" s="0">
        <v>836542.0</v>
      </c>
      <c r="I74" s="0">
        <f>1/COUNTIFS($H$5:$H$308,H74,$J$5:$J$308,1)</f>
      </c>
      <c r="J74" s="0">
        <f>IF(SUBTOTAL(103,H74) = 1, 1, 0)</f>
      </c>
      <c r="K74" t="n" s="0">
        <v>2025.0</v>
      </c>
      <c r="L74" t="s" s="0">
        <v>24</v>
      </c>
      <c r="M74" t="s" s="0">
        <v>131</v>
      </c>
      <c r="N74" t="s" s="0">
        <v>34</v>
      </c>
      <c r="O74" t="s" s="0">
        <v>61</v>
      </c>
      <c r="P74" t="s" s="0">
        <v>28</v>
      </c>
      <c r="Q74" t="n" s="0">
        <v>20.0</v>
      </c>
      <c r="R74" t="s" s="0">
        <v>29</v>
      </c>
    </row>
    <row r="75">
      <c r="A75" t="n" s="3">
        <v>45919.5</v>
      </c>
      <c r="B75" t="s" s="0">
        <v>113</v>
      </c>
      <c r="C75" t="s" s="0">
        <v>37</v>
      </c>
      <c r="D75" t="s" s="0">
        <v>75</v>
      </c>
      <c r="E75" t="s" s="0">
        <v>21</v>
      </c>
      <c r="F75" t="s" s="0">
        <v>91</v>
      </c>
      <c r="G75" t="s" s="0">
        <v>136</v>
      </c>
      <c r="H75" t="n" s="0">
        <v>925349.0</v>
      </c>
      <c r="I75" s="0">
        <f>1/COUNTIFS($H$5:$H$308,H75,$J$5:$J$308,1)</f>
      </c>
      <c r="J75" s="0">
        <f>IF(SUBTOTAL(103,H75) = 1, 1, 0)</f>
      </c>
      <c r="K75" t="n" s="0">
        <v>2025.0</v>
      </c>
      <c r="L75" t="s" s="0">
        <v>24</v>
      </c>
      <c r="M75" t="s" s="0">
        <v>131</v>
      </c>
      <c r="N75" t="s" s="0">
        <v>26</v>
      </c>
      <c r="O75" t="s" s="0">
        <v>61</v>
      </c>
      <c r="P75" t="s" s="0">
        <v>36</v>
      </c>
      <c r="Q75" t="n" s="0">
        <v>19.0</v>
      </c>
      <c r="R75" t="s" s="0">
        <v>29</v>
      </c>
    </row>
    <row r="76">
      <c r="A76" t="n" s="3">
        <v>45917.375</v>
      </c>
      <c r="B76" t="s" s="0">
        <v>113</v>
      </c>
      <c r="C76" t="s" s="0">
        <v>37</v>
      </c>
      <c r="D76" t="s" s="0">
        <v>75</v>
      </c>
      <c r="E76" t="s" s="0">
        <v>21</v>
      </c>
      <c r="F76" t="s" s="0">
        <v>65</v>
      </c>
      <c r="G76" t="s" s="0">
        <v>66</v>
      </c>
      <c r="H76" t="n" s="0">
        <v>950005.0</v>
      </c>
      <c r="I76" s="0">
        <f>1/COUNTIFS($H$5:$H$308,H76,$J$5:$J$308,1)</f>
      </c>
      <c r="J76" s="0">
        <f>IF(SUBTOTAL(103,H76) = 1, 1, 0)</f>
      </c>
      <c r="K76" t="n" s="0">
        <v>2025.0</v>
      </c>
      <c r="L76" t="s" s="0">
        <v>24</v>
      </c>
      <c r="M76" t="s" s="0">
        <v>131</v>
      </c>
      <c r="N76" t="s" s="0">
        <v>26</v>
      </c>
      <c r="O76" t="s" s="0">
        <v>61</v>
      </c>
      <c r="P76" t="s" s="0">
        <v>36</v>
      </c>
      <c r="Q76" t="n" s="0">
        <v>19.0</v>
      </c>
      <c r="R76" t="s" s="0">
        <v>29</v>
      </c>
    </row>
    <row r="77">
      <c r="A77" t="n" s="3">
        <v>45916.708333333336</v>
      </c>
      <c r="B77" t="s" s="0">
        <v>18</v>
      </c>
      <c r="C77" t="s" s="0">
        <v>37</v>
      </c>
      <c r="D77" t="s" s="0">
        <v>75</v>
      </c>
      <c r="E77" t="s" s="0">
        <v>21</v>
      </c>
      <c r="F77" t="s" s="0">
        <v>31</v>
      </c>
      <c r="G77" t="s" s="0">
        <v>73</v>
      </c>
      <c r="H77" t="n" s="0">
        <v>959451.0</v>
      </c>
      <c r="I77" s="0">
        <f>1/COUNTIFS($H$5:$H$308,H77,$J$5:$J$308,1)</f>
      </c>
      <c r="J77" s="0">
        <f>IF(SUBTOTAL(103,H77) = 1, 1, 0)</f>
      </c>
      <c r="K77" t="n" s="0">
        <v>2025.0</v>
      </c>
      <c r="L77" t="s" s="0">
        <v>24</v>
      </c>
      <c r="M77" t="s" s="0">
        <v>33</v>
      </c>
      <c r="N77" t="s" s="0">
        <v>26</v>
      </c>
      <c r="O77" t="s" s="0">
        <v>35</v>
      </c>
      <c r="P77" t="s" s="0">
        <v>36</v>
      </c>
      <c r="Q77" t="n" s="0">
        <v>19.0</v>
      </c>
      <c r="R77" t="s" s="0">
        <v>29</v>
      </c>
    </row>
    <row r="78">
      <c r="A78" t="n" s="3">
        <v>45916.677083333336</v>
      </c>
      <c r="B78" t="s" s="0">
        <v>18</v>
      </c>
      <c r="C78" t="s" s="0">
        <v>37</v>
      </c>
      <c r="D78" t="s" s="0">
        <v>75</v>
      </c>
      <c r="E78" t="s" s="0">
        <v>21</v>
      </c>
      <c r="F78" t="s" s="0">
        <v>31</v>
      </c>
      <c r="G78" t="s" s="0">
        <v>105</v>
      </c>
      <c r="H78" t="n" s="0">
        <v>851562.0</v>
      </c>
      <c r="I78" s="0">
        <f>1/COUNTIFS($H$5:$H$308,H78,$J$5:$J$308,1)</f>
      </c>
      <c r="J78" s="0">
        <f>IF(SUBTOTAL(103,H78) = 1, 1, 0)</f>
      </c>
      <c r="K78" t="n" s="0">
        <v>2025.0</v>
      </c>
      <c r="L78" t="s" s="0">
        <v>24</v>
      </c>
      <c r="M78" t="s" s="0">
        <v>25</v>
      </c>
      <c r="N78" t="s" s="0">
        <v>34</v>
      </c>
      <c r="O78" t="s" s="0">
        <v>27</v>
      </c>
      <c r="P78" t="s" s="0">
        <v>36</v>
      </c>
      <c r="Q78" t="n" s="0">
        <v>21.0</v>
      </c>
      <c r="R78" t="s" s="0">
        <v>29</v>
      </c>
    </row>
    <row r="79">
      <c r="A79" t="n" s="3">
        <v>45916.625</v>
      </c>
      <c r="B79" t="s" s="0">
        <v>18</v>
      </c>
      <c r="C79" t="s" s="0">
        <v>37</v>
      </c>
      <c r="D79" t="s" s="0">
        <v>75</v>
      </c>
      <c r="E79" t="s" s="0">
        <v>21</v>
      </c>
      <c r="F79" t="s" s="0">
        <v>31</v>
      </c>
      <c r="G79" t="s" s="0">
        <v>137</v>
      </c>
      <c r="H79" t="n" s="0">
        <v>1013774.0</v>
      </c>
      <c r="I79" s="0">
        <f>1/COUNTIFS($H$5:$H$308,H79,$J$5:$J$308,1)</f>
      </c>
      <c r="J79" s="0">
        <f>IF(SUBTOTAL(103,H79) = 1, 1, 0)</f>
      </c>
      <c r="K79" t="n" s="0">
        <v>2025.0</v>
      </c>
      <c r="L79" t="s" s="0">
        <v>24</v>
      </c>
      <c r="M79" t="s" s="0">
        <v>25</v>
      </c>
      <c r="N79" t="s" s="0">
        <v>55</v>
      </c>
      <c r="O79" t="s" s="0">
        <v>138</v>
      </c>
      <c r="P79" t="s" s="0">
        <v>28</v>
      </c>
      <c r="Q79" t="n" s="0">
        <v>17.0</v>
      </c>
      <c r="R79" t="s" s="0">
        <v>29</v>
      </c>
    </row>
    <row r="80">
      <c r="A80" t="n" s="3">
        <v>45916.583333333336</v>
      </c>
      <c r="B80" t="s" s="0">
        <v>18</v>
      </c>
      <c r="C80" t="s" s="0">
        <v>37</v>
      </c>
      <c r="D80" t="s" s="0">
        <v>75</v>
      </c>
      <c r="E80" t="s" s="0">
        <v>21</v>
      </c>
      <c r="F80" t="s" s="0">
        <v>52</v>
      </c>
      <c r="G80" t="s" s="0">
        <v>32</v>
      </c>
      <c r="H80" t="n" s="0">
        <v>840031.0</v>
      </c>
      <c r="I80" s="0">
        <f>1/COUNTIFS($H$5:$H$308,H80,$J$5:$J$308,1)</f>
      </c>
      <c r="J80" s="0">
        <f>IF(SUBTOTAL(103,H80) = 1, 1, 0)</f>
      </c>
      <c r="K80" t="n" s="0">
        <v>2025.0</v>
      </c>
      <c r="L80" t="s" s="0">
        <v>24</v>
      </c>
      <c r="M80" t="s" s="0">
        <v>33</v>
      </c>
      <c r="N80" t="s" s="0">
        <v>34</v>
      </c>
      <c r="O80" t="s" s="0">
        <v>74</v>
      </c>
      <c r="P80" t="s" s="0">
        <v>28</v>
      </c>
      <c r="Q80" t="n" s="0">
        <v>27.0</v>
      </c>
      <c r="R80" t="s" s="0">
        <v>29</v>
      </c>
    </row>
    <row r="81">
      <c r="A81" t="n" s="3">
        <v>45916.5</v>
      </c>
      <c r="B81" t="s" s="0">
        <v>18</v>
      </c>
      <c r="C81" t="s" s="0">
        <v>37</v>
      </c>
      <c r="D81" t="s" s="0">
        <v>75</v>
      </c>
      <c r="E81" t="s" s="0">
        <v>21</v>
      </c>
      <c r="F81" t="s" s="0">
        <v>52</v>
      </c>
      <c r="G81" t="s" s="0">
        <v>32</v>
      </c>
      <c r="H81" t="n" s="0">
        <v>926140.0</v>
      </c>
      <c r="I81" s="0">
        <f>1/COUNTIFS($H$5:$H$308,H81,$J$5:$J$308,1)</f>
      </c>
      <c r="J81" s="0">
        <f>IF(SUBTOTAL(103,H81) = 1, 1, 0)</f>
      </c>
      <c r="K81" t="n" s="0">
        <v>2025.0</v>
      </c>
      <c r="L81" t="s" s="0">
        <v>24</v>
      </c>
      <c r="M81" t="s" s="0">
        <v>33</v>
      </c>
      <c r="N81" t="s" s="0">
        <v>26</v>
      </c>
      <c r="O81" t="s" s="0">
        <v>35</v>
      </c>
      <c r="P81" t="s" s="0">
        <v>36</v>
      </c>
      <c r="Q81" t="n" s="0">
        <v>21.0</v>
      </c>
      <c r="R81" t="s" s="0">
        <v>29</v>
      </c>
    </row>
    <row r="82">
      <c r="A82" t="n" s="3">
        <v>45916.458333333336</v>
      </c>
      <c r="B82" t="s" s="0">
        <v>18</v>
      </c>
      <c r="C82" t="s" s="0">
        <v>37</v>
      </c>
      <c r="D82" t="s" s="0">
        <v>75</v>
      </c>
      <c r="E82" t="s" s="0">
        <v>21</v>
      </c>
      <c r="F82" t="s" s="0">
        <v>91</v>
      </c>
      <c r="G82" t="s" s="0">
        <v>136</v>
      </c>
      <c r="H82" t="n" s="0">
        <v>717620.0</v>
      </c>
      <c r="I82" s="0">
        <f>1/COUNTIFS($H$5:$H$308,H82,$J$5:$J$308,1)</f>
      </c>
      <c r="J82" s="0">
        <f>IF(SUBTOTAL(103,H82) = 1, 1, 0)</f>
      </c>
      <c r="K82" t="n" s="0">
        <v>2025.0</v>
      </c>
      <c r="L82" t="s" s="0">
        <v>24</v>
      </c>
      <c r="M82" t="s" s="0">
        <v>25</v>
      </c>
      <c r="N82" t="s" s="0">
        <v>34</v>
      </c>
      <c r="O82" t="s" s="0">
        <v>27</v>
      </c>
      <c r="P82" t="s" s="0">
        <v>36</v>
      </c>
      <c r="Q82" t="n" s="0">
        <v>23.0</v>
      </c>
      <c r="R82" t="s" s="0">
        <v>29</v>
      </c>
    </row>
    <row r="83">
      <c r="A83" t="n" s="3">
        <v>45916.416666666664</v>
      </c>
      <c r="B83" t="s" s="0">
        <v>18</v>
      </c>
      <c r="C83" t="s" s="0">
        <v>37</v>
      </c>
      <c r="D83" t="s" s="0">
        <v>75</v>
      </c>
      <c r="E83" t="s" s="0">
        <v>21</v>
      </c>
      <c r="F83" t="s" s="0">
        <v>43</v>
      </c>
      <c r="G83" t="s" s="0">
        <v>139</v>
      </c>
      <c r="H83" t="n" s="0">
        <v>938327.0</v>
      </c>
      <c r="I83" s="0">
        <f>1/COUNTIFS($H$5:$H$308,H83,$J$5:$J$308,1)</f>
      </c>
      <c r="J83" s="0">
        <f>IF(SUBTOTAL(103,H83) = 1, 1, 0)</f>
      </c>
      <c r="K83" t="n" s="0">
        <v>2025.0</v>
      </c>
      <c r="L83" t="s" s="0">
        <v>24</v>
      </c>
      <c r="M83" t="s" s="0">
        <v>33</v>
      </c>
      <c r="N83" t="s" s="0">
        <v>26</v>
      </c>
      <c r="O83" t="s" s="0">
        <v>35</v>
      </c>
      <c r="P83" t="s" s="0">
        <v>36</v>
      </c>
      <c r="Q83" t="n" s="0">
        <v>19.0</v>
      </c>
      <c r="R83" t="s" s="0">
        <v>29</v>
      </c>
    </row>
    <row r="84">
      <c r="A84" t="n" s="3">
        <v>45916.375</v>
      </c>
      <c r="B84" t="s" s="0">
        <v>18</v>
      </c>
      <c r="C84" t="s" s="0">
        <v>37</v>
      </c>
      <c r="D84" t="s" s="0">
        <v>75</v>
      </c>
      <c r="E84" t="s" s="0">
        <v>21</v>
      </c>
      <c r="F84" t="s" s="0">
        <v>65</v>
      </c>
      <c r="G84" t="s" s="0">
        <v>32</v>
      </c>
      <c r="H84" t="n" s="0">
        <v>859132.0</v>
      </c>
      <c r="I84" s="0">
        <f>1/COUNTIFS($H$5:$H$308,H84,$J$5:$J$308,1)</f>
      </c>
      <c r="J84" s="0">
        <f>IF(SUBTOTAL(103,H84) = 1, 1, 0)</f>
      </c>
      <c r="K84" t="n" s="0">
        <v>2025.0</v>
      </c>
      <c r="L84" t="s" s="0">
        <v>24</v>
      </c>
      <c r="M84" t="s" s="0">
        <v>33</v>
      </c>
      <c r="N84" t="s" s="0">
        <v>34</v>
      </c>
      <c r="O84" t="s" s="0">
        <v>35</v>
      </c>
      <c r="P84" t="s" s="0">
        <v>36</v>
      </c>
      <c r="Q84" t="n" s="0">
        <v>21.0</v>
      </c>
      <c r="R84" t="s" s="0">
        <v>29</v>
      </c>
    </row>
    <row r="85">
      <c r="A85" t="n" s="3">
        <v>45915.583333333336</v>
      </c>
      <c r="B85" t="s" s="0">
        <v>18</v>
      </c>
      <c r="C85" t="s" s="0">
        <v>37</v>
      </c>
      <c r="D85" t="s" s="0">
        <v>75</v>
      </c>
      <c r="E85" t="s" s="0">
        <v>21</v>
      </c>
      <c r="F85" t="s" s="0">
        <v>31</v>
      </c>
      <c r="G85" t="s" s="0">
        <v>32</v>
      </c>
      <c r="H85" t="n" s="0">
        <v>633847.0</v>
      </c>
      <c r="I85" s="0">
        <f>1/COUNTIFS($H$5:$H$308,H85,$J$5:$J$308,1)</f>
      </c>
      <c r="J85" s="0">
        <f>IF(SUBTOTAL(103,H85) = 1, 1, 0)</f>
      </c>
      <c r="K85" t="n" s="0">
        <v>2024.0</v>
      </c>
      <c r="L85" t="s" s="0">
        <v>24</v>
      </c>
      <c r="M85" t="s" s="0">
        <v>140</v>
      </c>
      <c r="N85" t="s" s="0">
        <v>58</v>
      </c>
      <c r="O85" t="s" s="0">
        <v>141</v>
      </c>
      <c r="P85" t="s" s="0">
        <v>36</v>
      </c>
      <c r="Q85" t="n" s="0">
        <v>23.0</v>
      </c>
      <c r="R85" t="s" s="0">
        <v>29</v>
      </c>
    </row>
    <row r="86">
      <c r="A86" t="n" s="3">
        <v>45915.583333333336</v>
      </c>
      <c r="B86" t="s" s="0">
        <v>18</v>
      </c>
      <c r="C86" t="s" s="0">
        <v>37</v>
      </c>
      <c r="D86" t="s" s="0">
        <v>75</v>
      </c>
      <c r="E86" t="s" s="0">
        <v>21</v>
      </c>
      <c r="F86" t="s" s="0">
        <v>43</v>
      </c>
      <c r="G86" t="s" s="0">
        <v>139</v>
      </c>
      <c r="H86" t="n" s="0">
        <v>914947.0</v>
      </c>
      <c r="I86" s="0">
        <f>1/COUNTIFS($H$5:$H$308,H86,$J$5:$J$308,1)</f>
      </c>
      <c r="J86" s="0">
        <f>IF(SUBTOTAL(103,H86) = 1, 1, 0)</f>
      </c>
      <c r="K86" t="n" s="0">
        <v>2025.0</v>
      </c>
      <c r="L86" t="s" s="0">
        <v>24</v>
      </c>
      <c r="M86" t="s" s="0">
        <v>97</v>
      </c>
      <c r="N86" t="s" s="0">
        <v>26</v>
      </c>
      <c r="O86" t="s" s="0">
        <v>112</v>
      </c>
      <c r="P86" t="s" s="0">
        <v>36</v>
      </c>
      <c r="Q86" t="n" s="0">
        <v>19.0</v>
      </c>
      <c r="R86" t="s" s="0">
        <v>29</v>
      </c>
    </row>
    <row r="87">
      <c r="A87" t="n" s="3">
        <v>45915.416666666664</v>
      </c>
      <c r="B87" t="s" s="0">
        <v>18</v>
      </c>
      <c r="C87" t="s" s="0">
        <v>37</v>
      </c>
      <c r="D87" t="s" s="0">
        <v>75</v>
      </c>
      <c r="E87" t="s" s="0">
        <v>21</v>
      </c>
      <c r="F87" t="s" s="0">
        <v>65</v>
      </c>
      <c r="G87" t="s" s="0">
        <v>32</v>
      </c>
      <c r="H87" t="n" s="0">
        <v>942899.0</v>
      </c>
      <c r="I87" s="0">
        <f>1/COUNTIFS($H$5:$H$308,H87,$J$5:$J$308,1)</f>
      </c>
      <c r="J87" s="0">
        <f>IF(SUBTOTAL(103,H87) = 1, 1, 0)</f>
      </c>
      <c r="K87" t="n" s="0">
        <v>2025.0</v>
      </c>
      <c r="L87" t="s" s="0">
        <v>24</v>
      </c>
      <c r="M87" t="s" s="0">
        <v>33</v>
      </c>
      <c r="N87" t="s" s="0">
        <v>26</v>
      </c>
      <c r="O87" t="s" s="0">
        <v>121</v>
      </c>
      <c r="P87" t="s" s="0">
        <v>36</v>
      </c>
      <c r="Q87" t="n" s="0">
        <v>19.0</v>
      </c>
      <c r="R87" t="s" s="0">
        <v>29</v>
      </c>
    </row>
    <row r="88">
      <c r="A88" t="n" s="3">
        <v>45922.41133101852</v>
      </c>
      <c r="B88" t="s" s="0">
        <v>18</v>
      </c>
      <c r="C88" t="s" s="0">
        <v>37</v>
      </c>
      <c r="D88" t="s" s="0">
        <v>75</v>
      </c>
      <c r="E88" t="s" s="0">
        <v>21</v>
      </c>
      <c r="F88" t="s" s="0">
        <v>52</v>
      </c>
      <c r="G88" t="s" s="0">
        <v>53</v>
      </c>
      <c r="H88" t="n" s="0">
        <v>867276.0</v>
      </c>
      <c r="I88" s="0">
        <f>1/COUNTIFS($H$5:$H$308,H88,$J$5:$J$308,1)</f>
      </c>
      <c r="J88" s="0">
        <f>IF(SUBTOTAL(103,H88) = 1, 1, 0)</f>
      </c>
      <c r="K88" t="n" s="0">
        <v>2025.0</v>
      </c>
      <c r="L88" t="s" s="0">
        <v>24</v>
      </c>
      <c r="M88" t="s" s="0">
        <v>25</v>
      </c>
      <c r="N88" t="s" s="0">
        <v>34</v>
      </c>
      <c r="O88" t="s" s="0">
        <v>27</v>
      </c>
      <c r="P88" t="s" s="0">
        <v>36</v>
      </c>
      <c r="Q88" t="n" s="0">
        <v>19.0</v>
      </c>
      <c r="R88" t="s" s="0">
        <v>29</v>
      </c>
    </row>
    <row r="89">
      <c r="A89" t="n" s="3">
        <v>45922.436273148145</v>
      </c>
      <c r="B89" t="s" s="0">
        <v>18</v>
      </c>
      <c r="C89" t="s" s="0">
        <v>37</v>
      </c>
      <c r="D89" t="s" s="0">
        <v>30</v>
      </c>
      <c r="E89" t="s" s="0">
        <v>21</v>
      </c>
      <c r="F89" t="s" s="0">
        <v>38</v>
      </c>
      <c r="G89" t="s" s="0">
        <v>32</v>
      </c>
      <c r="H89" t="n" s="0">
        <v>871557.0</v>
      </c>
      <c r="I89" s="0">
        <f>1/COUNTIFS($H$5:$H$308,H89,$J$5:$J$308,1)</f>
      </c>
      <c r="J89" s="0">
        <f>IF(SUBTOTAL(103,H89) = 1, 1, 0)</f>
      </c>
      <c r="K89" t="n" s="0">
        <v>2025.0</v>
      </c>
      <c r="L89" t="s" s="0">
        <v>24</v>
      </c>
      <c r="M89" t="s" s="0">
        <v>33</v>
      </c>
      <c r="N89" t="s" s="0">
        <v>34</v>
      </c>
      <c r="O89" t="s" s="0">
        <v>85</v>
      </c>
      <c r="P89" t="s" s="0">
        <v>36</v>
      </c>
      <c r="Q89" t="n" s="0">
        <v>20.0</v>
      </c>
      <c r="R89" t="s" s="0">
        <v>142</v>
      </c>
    </row>
    <row r="90">
      <c r="A90" t="n" s="3">
        <v>45922.501493055555</v>
      </c>
      <c r="B90" t="s" s="0">
        <v>18</v>
      </c>
      <c r="C90" t="s" s="0">
        <v>37</v>
      </c>
      <c r="D90" t="s" s="0">
        <v>75</v>
      </c>
      <c r="E90" t="s" s="0">
        <v>21</v>
      </c>
      <c r="F90" t="s" s="0">
        <v>38</v>
      </c>
      <c r="G90" t="s" s="0">
        <v>82</v>
      </c>
      <c r="H90" t="n" s="0">
        <v>946661.0</v>
      </c>
      <c r="I90" s="0">
        <f>1/COUNTIFS($H$5:$H$308,H90,$J$5:$J$308,1)</f>
      </c>
      <c r="J90" s="0">
        <f>IF(SUBTOTAL(103,H90) = 1, 1, 0)</f>
      </c>
      <c r="K90" t="n" s="0">
        <v>2025.0</v>
      </c>
      <c r="L90" t="s" s="0">
        <v>24</v>
      </c>
      <c r="M90" t="s" s="0">
        <v>57</v>
      </c>
      <c r="N90" t="s" s="0">
        <v>58</v>
      </c>
      <c r="O90" t="s" s="0">
        <v>133</v>
      </c>
      <c r="P90" t="s" s="0">
        <v>36</v>
      </c>
      <c r="Q90" t="n" s="0">
        <v>26.0</v>
      </c>
      <c r="R90" t="s" s="0">
        <v>104</v>
      </c>
    </row>
    <row r="91">
      <c r="A91" t="n" s="3">
        <v>45922.50440972222</v>
      </c>
      <c r="B91" t="s" s="0">
        <v>18</v>
      </c>
      <c r="C91" t="s" s="0">
        <v>37</v>
      </c>
      <c r="D91" t="s" s="0">
        <v>99</v>
      </c>
      <c r="E91" t="s" s="0">
        <v>21</v>
      </c>
      <c r="F91" t="s" s="0">
        <v>43</v>
      </c>
      <c r="G91" t="s" s="0">
        <v>32</v>
      </c>
      <c r="H91" t="n" s="0">
        <v>1013393.0</v>
      </c>
      <c r="I91" s="0">
        <f>1/COUNTIFS($H$5:$H$308,H91,$J$5:$J$308,1)</f>
      </c>
      <c r="J91" s="0">
        <f>IF(SUBTOTAL(103,H91) = 1, 1, 0)</f>
      </c>
      <c r="K91" t="n" s="0">
        <v>2025.0</v>
      </c>
      <c r="L91" t="s" s="0">
        <v>24</v>
      </c>
      <c r="M91" t="s" s="0">
        <v>57</v>
      </c>
      <c r="N91" t="s" s="0">
        <v>95</v>
      </c>
      <c r="O91" t="s" s="0">
        <v>143</v>
      </c>
      <c r="P91" t="s" s="0">
        <v>28</v>
      </c>
      <c r="Q91" t="n" s="0">
        <v>33.0</v>
      </c>
      <c r="R91" t="s" s="0">
        <v>29</v>
      </c>
    </row>
    <row r="92">
      <c r="A92" t="n" s="3">
        <v>45922.66415509259</v>
      </c>
      <c r="B92" t="s" s="0">
        <v>100</v>
      </c>
      <c r="C92" t="s" s="0">
        <v>37</v>
      </c>
      <c r="D92" t="s" s="0">
        <v>101</v>
      </c>
      <c r="E92" t="s" s="0">
        <v>21</v>
      </c>
      <c r="F92" t="s" s="0">
        <v>52</v>
      </c>
      <c r="G92" t="s" s="0">
        <v>60</v>
      </c>
      <c r="H92" t="n" s="0">
        <v>1000706.0</v>
      </c>
      <c r="I92" s="0">
        <f>1/COUNTIFS($H$5:$H$308,H92,$J$5:$J$308,1)</f>
      </c>
      <c r="J92" s="0">
        <f>IF(SUBTOTAL(103,H92) = 1, 1, 0)</f>
      </c>
      <c r="K92" t="n" s="0">
        <v>2025.0</v>
      </c>
      <c r="L92" t="s" s="0">
        <v>24</v>
      </c>
      <c r="M92" t="s" s="0">
        <v>102</v>
      </c>
      <c r="N92" t="s" s="0">
        <v>55</v>
      </c>
      <c r="O92" t="s" s="0">
        <v>127</v>
      </c>
      <c r="P92" t="s" s="0">
        <v>36</v>
      </c>
      <c r="Q92" t="n" s="0">
        <v>23.0</v>
      </c>
      <c r="R92" t="s" s="0">
        <v>29</v>
      </c>
    </row>
    <row r="93">
      <c r="A93" t="n" s="3">
        <v>45922.66835648148</v>
      </c>
      <c r="B93" t="s" s="0">
        <v>100</v>
      </c>
      <c r="C93" t="s" s="0">
        <v>37</v>
      </c>
      <c r="D93" t="s" s="0">
        <v>101</v>
      </c>
      <c r="E93" t="s" s="0">
        <v>21</v>
      </c>
      <c r="F93" t="s" s="0">
        <v>22</v>
      </c>
      <c r="G93" t="s" s="0">
        <v>144</v>
      </c>
      <c r="H93" t="n" s="0">
        <v>946997.0</v>
      </c>
      <c r="I93" s="0">
        <f>1/COUNTIFS($H$5:$H$308,H93,$J$5:$J$308,1)</f>
      </c>
      <c r="J93" s="0">
        <f>IF(SUBTOTAL(103,H93) = 1, 1, 0)</f>
      </c>
      <c r="K93" t="n" s="0">
        <v>2025.0</v>
      </c>
      <c r="L93" t="s" s="0">
        <v>24</v>
      </c>
      <c r="M93" t="s" s="0">
        <v>102</v>
      </c>
      <c r="N93" t="s" s="0">
        <v>58</v>
      </c>
      <c r="O93" t="s" s="0">
        <v>90</v>
      </c>
      <c r="P93" t="s" s="0">
        <v>28</v>
      </c>
      <c r="Q93" t="n" s="0">
        <v>29.0</v>
      </c>
      <c r="R93" t="s" s="0">
        <v>104</v>
      </c>
    </row>
    <row r="94">
      <c r="A94" t="n" s="3">
        <v>45922.67402777778</v>
      </c>
      <c r="B94" t="s" s="0">
        <v>100</v>
      </c>
      <c r="C94" t="s" s="0">
        <v>37</v>
      </c>
      <c r="D94" t="s" s="0">
        <v>101</v>
      </c>
      <c r="E94" t="s" s="0">
        <v>21</v>
      </c>
      <c r="F94" t="s" s="0">
        <v>38</v>
      </c>
      <c r="G94" t="s" s="0">
        <v>39</v>
      </c>
      <c r="H94" t="n" s="0">
        <v>1001938.0</v>
      </c>
      <c r="I94" s="0">
        <f>1/COUNTIFS($H$5:$H$308,H94,$J$5:$J$308,1)</f>
      </c>
      <c r="J94" s="0">
        <f>IF(SUBTOTAL(103,H94) = 1, 1, 0)</f>
      </c>
      <c r="K94" t="n" s="0">
        <v>2025.0</v>
      </c>
      <c r="L94" t="s" s="0">
        <v>24</v>
      </c>
      <c r="M94" t="s" s="0">
        <v>102</v>
      </c>
      <c r="N94" t="s" s="0">
        <v>95</v>
      </c>
      <c r="O94" t="s" s="0">
        <v>90</v>
      </c>
      <c r="P94" t="s" s="0">
        <v>36</v>
      </c>
      <c r="Q94" t="n" s="0">
        <v>21.0</v>
      </c>
      <c r="R94" t="s" s="0">
        <v>29</v>
      </c>
    </row>
    <row r="95">
      <c r="A95" t="n" s="3">
        <v>45922.67833333334</v>
      </c>
      <c r="B95" t="s" s="0">
        <v>100</v>
      </c>
      <c r="C95" t="s" s="0">
        <v>37</v>
      </c>
      <c r="D95" t="s" s="0">
        <v>101</v>
      </c>
      <c r="E95" t="s" s="0">
        <v>21</v>
      </c>
      <c r="F95" t="s" s="0">
        <v>91</v>
      </c>
      <c r="G95" t="s" s="0">
        <v>32</v>
      </c>
      <c r="H95" t="n" s="0">
        <v>1006954.0</v>
      </c>
      <c r="I95" s="0">
        <f>1/COUNTIFS($H$5:$H$308,H95,$J$5:$J$308,1)</f>
      </c>
      <c r="J95" s="0">
        <f>IF(SUBTOTAL(103,H95) = 1, 1, 0)</f>
      </c>
      <c r="K95" t="n" s="0">
        <v>2025.0</v>
      </c>
      <c r="L95" t="s" s="0">
        <v>24</v>
      </c>
      <c r="M95" t="s" s="0">
        <v>102</v>
      </c>
      <c r="N95" t="s" s="0">
        <v>95</v>
      </c>
      <c r="O95" t="s" s="0">
        <v>90</v>
      </c>
      <c r="P95" t="s" s="0">
        <v>36</v>
      </c>
      <c r="Q95" t="n" s="0">
        <v>23.0</v>
      </c>
      <c r="R95" t="s" s="0">
        <v>29</v>
      </c>
    </row>
    <row r="96">
      <c r="A96" t="n" s="3">
        <v>45922.68204861111</v>
      </c>
      <c r="B96" t="s" s="0">
        <v>100</v>
      </c>
      <c r="C96" t="s" s="0">
        <v>37</v>
      </c>
      <c r="D96" t="s" s="0">
        <v>101</v>
      </c>
      <c r="E96" t="s" s="0">
        <v>21</v>
      </c>
      <c r="F96" t="s" s="0">
        <v>31</v>
      </c>
      <c r="G96" t="s" s="0">
        <v>73</v>
      </c>
      <c r="H96" t="n" s="0">
        <v>1031059.0</v>
      </c>
      <c r="I96" s="0">
        <f>1/COUNTIFS($H$5:$H$308,H96,$J$5:$J$308,1)</f>
      </c>
      <c r="J96" s="0">
        <f>IF(SUBTOTAL(103,H96) = 1, 1, 0)</f>
      </c>
      <c r="K96" t="n" s="0">
        <v>2025.0</v>
      </c>
      <c r="L96" t="s" s="0">
        <v>24</v>
      </c>
      <c r="M96" t="s" s="0">
        <v>102</v>
      </c>
      <c r="N96" t="s" s="0">
        <v>55</v>
      </c>
      <c r="O96" t="s" s="0">
        <v>129</v>
      </c>
      <c r="P96" t="s" s="0">
        <v>36</v>
      </c>
      <c r="Q96" t="n" s="0">
        <v>23.0</v>
      </c>
      <c r="R96" t="s" s="0">
        <v>29</v>
      </c>
    </row>
    <row r="97">
      <c r="A97" t="n" s="3">
        <v>45923.3990625</v>
      </c>
      <c r="B97" t="s" s="0">
        <v>18</v>
      </c>
      <c r="C97" t="s" s="0">
        <v>19</v>
      </c>
      <c r="D97" t="s" s="0">
        <v>30</v>
      </c>
      <c r="E97" t="s" s="0">
        <v>21</v>
      </c>
      <c r="F97" t="s" s="0">
        <v>31</v>
      </c>
      <c r="G97" t="s" s="0">
        <v>73</v>
      </c>
      <c r="H97" t="n" s="0">
        <v>957692.0</v>
      </c>
      <c r="I97" s="0">
        <f>1/COUNTIFS($H$5:$H$308,H97,$J$5:$J$308,1)</f>
      </c>
      <c r="J97" s="0">
        <f>IF(SUBTOTAL(103,H97) = 1, 1, 0)</f>
      </c>
      <c r="K97" t="n" s="0">
        <v>2025.0</v>
      </c>
      <c r="L97" t="s" s="0">
        <v>24</v>
      </c>
      <c r="M97" t="s" s="0">
        <v>33</v>
      </c>
      <c r="N97" t="s" s="0">
        <v>34</v>
      </c>
      <c r="O97" t="s" s="0">
        <v>44</v>
      </c>
      <c r="P97" t="s" s="0">
        <v>36</v>
      </c>
      <c r="Q97" t="n" s="0">
        <v>23.0</v>
      </c>
      <c r="R97" t="s" s="0">
        <v>29</v>
      </c>
    </row>
    <row r="98">
      <c r="A98" t="n" s="3">
        <v>45922.5</v>
      </c>
      <c r="B98" t="s" s="0">
        <v>18</v>
      </c>
      <c r="C98" t="s" s="0">
        <v>37</v>
      </c>
      <c r="D98" t="s" s="0">
        <v>75</v>
      </c>
      <c r="E98" t="s" s="0">
        <v>21</v>
      </c>
      <c r="F98" t="s" s="0">
        <v>38</v>
      </c>
      <c r="G98" t="s" s="0">
        <v>82</v>
      </c>
      <c r="H98" t="n" s="0">
        <v>624649.0</v>
      </c>
      <c r="I98" s="0">
        <f>1/COUNTIFS($H$5:$H$308,H98,$J$5:$J$308,1)</f>
      </c>
      <c r="J98" s="0">
        <f>IF(SUBTOTAL(103,H98) = 1, 1, 0)</f>
      </c>
      <c r="K98" t="n" s="0">
        <v>2025.0</v>
      </c>
      <c r="L98" t="s" s="0">
        <v>24</v>
      </c>
      <c r="M98" t="s" s="0">
        <v>97</v>
      </c>
      <c r="N98" t="s" s="0">
        <v>62</v>
      </c>
      <c r="O98" t="s" s="0">
        <v>112</v>
      </c>
      <c r="P98" t="s" s="0">
        <v>28</v>
      </c>
      <c r="Q98" t="n" s="0">
        <v>23.0</v>
      </c>
      <c r="R98" t="s" s="0">
        <v>29</v>
      </c>
    </row>
    <row r="99">
      <c r="A99" t="n" s="3">
        <v>45923.43866898148</v>
      </c>
      <c r="B99" t="s" s="0">
        <v>18</v>
      </c>
      <c r="C99" t="s" s="0">
        <v>37</v>
      </c>
      <c r="D99" t="s" s="0">
        <v>30</v>
      </c>
      <c r="E99" t="s" s="0">
        <v>21</v>
      </c>
      <c r="F99" t="s" s="0">
        <v>43</v>
      </c>
      <c r="G99" t="s" s="0">
        <v>32</v>
      </c>
      <c r="H99" t="n" s="0">
        <v>892348.0</v>
      </c>
      <c r="I99" s="0">
        <f>1/COUNTIFS($H$5:$H$308,H99,$J$5:$J$308,1)</f>
      </c>
      <c r="J99" s="0">
        <f>IF(SUBTOTAL(103,H99) = 1, 1, 0)</f>
      </c>
      <c r="K99" t="n" s="0">
        <v>2025.0</v>
      </c>
      <c r="L99" t="s" s="0">
        <v>24</v>
      </c>
      <c r="M99" t="s" s="0">
        <v>80</v>
      </c>
      <c r="N99" t="s" s="0">
        <v>34</v>
      </c>
      <c r="O99" t="s" s="0">
        <v>145</v>
      </c>
      <c r="P99" t="s" s="0">
        <v>36</v>
      </c>
      <c r="Q99" t="n" s="0">
        <v>20.0</v>
      </c>
      <c r="R99" t="s" s="0">
        <v>29</v>
      </c>
    </row>
    <row r="100">
      <c r="A100" t="n" s="3">
        <v>45923.4437962963</v>
      </c>
      <c r="B100" t="s" s="0">
        <v>18</v>
      </c>
      <c r="C100" t="s" s="0">
        <v>37</v>
      </c>
      <c r="D100" t="s" s="0">
        <v>75</v>
      </c>
      <c r="E100" t="s" s="0">
        <v>21</v>
      </c>
      <c r="F100" t="s" s="0">
        <v>43</v>
      </c>
      <c r="G100" t="s" s="0">
        <v>135</v>
      </c>
      <c r="H100" t="n" s="0">
        <v>433267.0</v>
      </c>
      <c r="I100" s="0">
        <f>1/COUNTIFS($H$5:$H$308,H100,$J$5:$J$308,1)</f>
      </c>
      <c r="J100" s="0">
        <f>IF(SUBTOTAL(103,H100) = 1, 1, 0)</f>
      </c>
      <c r="K100" t="n" s="0">
        <v>2025.0</v>
      </c>
      <c r="L100" t="s" s="0">
        <v>24</v>
      </c>
      <c r="M100" t="s" s="0">
        <v>33</v>
      </c>
      <c r="N100" t="s" s="0">
        <v>95</v>
      </c>
      <c r="O100" t="s" s="0">
        <v>72</v>
      </c>
      <c r="P100" t="s" s="0">
        <v>36</v>
      </c>
      <c r="Q100" t="n" s="0">
        <v>26.0</v>
      </c>
      <c r="R100" t="s" s="0">
        <v>29</v>
      </c>
    </row>
    <row r="101">
      <c r="A101" t="n" s="3">
        <v>45923.504224537035</v>
      </c>
      <c r="B101" t="s" s="0">
        <v>18</v>
      </c>
      <c r="C101" t="s" s="0">
        <v>37</v>
      </c>
      <c r="D101" t="s" s="0">
        <v>75</v>
      </c>
      <c r="E101" t="s" s="0">
        <v>21</v>
      </c>
      <c r="F101" t="s" s="0">
        <v>91</v>
      </c>
      <c r="G101" t="s" s="0">
        <v>32</v>
      </c>
      <c r="H101" t="n" s="0">
        <v>875042.0</v>
      </c>
      <c r="I101" s="0">
        <f>1/COUNTIFS($H$5:$H$308,H101,$J$5:$J$308,1)</f>
      </c>
      <c r="J101" s="0">
        <f>IF(SUBTOTAL(103,H101) = 1, 1, 0)</f>
      </c>
      <c r="K101" t="n" s="0">
        <v>2025.0</v>
      </c>
      <c r="L101" t="s" s="0">
        <v>24</v>
      </c>
      <c r="M101" t="s" s="0">
        <v>25</v>
      </c>
      <c r="N101" t="s" s="0">
        <v>34</v>
      </c>
      <c r="O101" t="s" s="0">
        <v>138</v>
      </c>
      <c r="P101" t="s" s="0">
        <v>36</v>
      </c>
      <c r="Q101" t="n" s="0">
        <v>21.0</v>
      </c>
      <c r="R101" t="s" s="0">
        <v>146</v>
      </c>
    </row>
    <row r="102">
      <c r="A102" t="n" s="3">
        <v>45923.624456018515</v>
      </c>
      <c r="B102" t="s" s="0">
        <v>18</v>
      </c>
      <c r="C102" t="s" s="0">
        <v>37</v>
      </c>
      <c r="D102" t="s" s="0">
        <v>75</v>
      </c>
      <c r="E102" t="s" s="0">
        <v>21</v>
      </c>
      <c r="F102" t="s" s="0">
        <v>31</v>
      </c>
      <c r="G102" t="s" s="0">
        <v>76</v>
      </c>
      <c r="H102" t="n" s="0">
        <v>957009.0</v>
      </c>
      <c r="I102" s="0">
        <f>1/COUNTIFS($H$5:$H$308,H102,$J$5:$J$308,1)</f>
      </c>
      <c r="J102" s="0">
        <f>IF(SUBTOTAL(103,H102) = 1, 1, 0)</f>
      </c>
      <c r="K102" t="n" s="0">
        <v>2024.0</v>
      </c>
      <c r="L102" t="s" s="0">
        <v>77</v>
      </c>
      <c r="M102" t="s" s="0">
        <v>78</v>
      </c>
      <c r="N102" t="s" s="0">
        <v>34</v>
      </c>
      <c r="O102" t="s" s="0">
        <v>19</v>
      </c>
      <c r="P102" t="s" s="0">
        <v>36</v>
      </c>
      <c r="Q102" t="n" s="0">
        <v>21.0</v>
      </c>
      <c r="R102" t="s" s="0">
        <v>29</v>
      </c>
    </row>
    <row r="103">
      <c r="A103" t="n" s="3">
        <v>45923.649097222224</v>
      </c>
      <c r="B103" t="s" s="0">
        <v>18</v>
      </c>
      <c r="C103" t="s" s="0">
        <v>37</v>
      </c>
      <c r="D103" t="s" s="0">
        <v>99</v>
      </c>
      <c r="E103" t="s" s="0">
        <v>21</v>
      </c>
      <c r="F103" t="s" s="0">
        <v>43</v>
      </c>
      <c r="G103" t="s" s="0">
        <v>147</v>
      </c>
      <c r="H103" t="n" s="0">
        <v>925103.0</v>
      </c>
      <c r="I103" s="0">
        <f>1/COUNTIFS($H$5:$H$308,H103,$J$5:$J$308,1)</f>
      </c>
      <c r="J103" s="0">
        <f>IF(SUBTOTAL(103,H103) = 1, 1, 0)</f>
      </c>
      <c r="K103" t="n" s="0">
        <v>2025.0</v>
      </c>
      <c r="L103" t="s" s="0">
        <v>24</v>
      </c>
      <c r="M103" t="s" s="0">
        <v>25</v>
      </c>
      <c r="N103" t="s" s="0">
        <v>26</v>
      </c>
      <c r="O103" t="s" s="0">
        <v>27</v>
      </c>
      <c r="P103" t="s" s="0">
        <v>36</v>
      </c>
      <c r="Q103" t="n" s="0">
        <v>19.0</v>
      </c>
      <c r="R103" t="s" s="0">
        <v>29</v>
      </c>
    </row>
    <row r="104">
      <c r="A104" t="n" s="3">
        <v>45923.6505787037</v>
      </c>
      <c r="B104" t="s" s="0">
        <v>18</v>
      </c>
      <c r="C104" t="s" s="0">
        <v>37</v>
      </c>
      <c r="D104" t="s" s="0">
        <v>75</v>
      </c>
      <c r="E104" t="s" s="0">
        <v>21</v>
      </c>
      <c r="F104" t="s" s="0">
        <v>52</v>
      </c>
      <c r="G104" t="s" s="0">
        <v>86</v>
      </c>
      <c r="H104" t="n" s="0">
        <v>705461.0</v>
      </c>
      <c r="I104" s="0">
        <f>1/COUNTIFS($H$5:$H$308,H104,$J$5:$J$308,1)</f>
      </c>
      <c r="J104" s="0">
        <f>IF(SUBTOTAL(103,H104) = 1, 1, 0)</f>
      </c>
      <c r="K104" t="n" s="0">
        <v>2025.0</v>
      </c>
      <c r="L104" t="s" s="0">
        <v>24</v>
      </c>
      <c r="M104" t="s" s="0">
        <v>33</v>
      </c>
      <c r="N104" t="s" s="0">
        <v>58</v>
      </c>
      <c r="O104" t="s" s="0">
        <v>72</v>
      </c>
      <c r="P104" t="s" s="0">
        <v>28</v>
      </c>
      <c r="Q104" t="n" s="0">
        <v>23.0</v>
      </c>
      <c r="R104" t="s" s="0">
        <v>29</v>
      </c>
    </row>
    <row r="105">
      <c r="A105" t="n" s="3">
        <v>45923.65167824074</v>
      </c>
      <c r="B105" t="s" s="0">
        <v>18</v>
      </c>
      <c r="C105" t="s" s="0">
        <v>37</v>
      </c>
      <c r="D105" t="s" s="0">
        <v>99</v>
      </c>
      <c r="E105" t="s" s="0">
        <v>21</v>
      </c>
      <c r="F105" t="s" s="0">
        <v>52</v>
      </c>
      <c r="G105" t="s" s="0">
        <v>86</v>
      </c>
      <c r="H105" t="n" s="0">
        <v>697067.0</v>
      </c>
      <c r="I105" s="0">
        <f>1/COUNTIFS($H$5:$H$308,H105,$J$5:$J$308,1)</f>
      </c>
      <c r="J105" s="0">
        <f>IF(SUBTOTAL(103,H105) = 1, 1, 0)</f>
      </c>
      <c r="K105" t="n" s="0">
        <v>2024.0</v>
      </c>
      <c r="L105" t="s" s="0">
        <v>77</v>
      </c>
      <c r="M105" t="s" s="0">
        <v>78</v>
      </c>
      <c r="N105" t="s" s="0">
        <v>34</v>
      </c>
      <c r="O105" t="s" s="0">
        <v>19</v>
      </c>
      <c r="P105" t="s" s="0">
        <v>36</v>
      </c>
      <c r="Q105" t="n" s="0">
        <v>22.0</v>
      </c>
      <c r="R105" t="s" s="0">
        <v>29</v>
      </c>
    </row>
    <row r="106">
      <c r="A106" t="n" s="3">
        <v>45923.66439814815</v>
      </c>
      <c r="B106" t="s" s="0">
        <v>18</v>
      </c>
      <c r="C106" t="s" s="0">
        <v>19</v>
      </c>
      <c r="D106" t="s" s="0">
        <v>63</v>
      </c>
      <c r="E106" t="s" s="0">
        <v>21</v>
      </c>
      <c r="F106" t="s" s="0">
        <v>148</v>
      </c>
      <c r="G106" t="s" s="0">
        <v>149</v>
      </c>
      <c r="H106" t="n" s="0">
        <v>1028029.0</v>
      </c>
      <c r="I106" s="0">
        <f>1/COUNTIFS($H$5:$H$308,H106,$J$5:$J$308,1)</f>
      </c>
      <c r="J106" s="0">
        <f>IF(SUBTOTAL(103,H106) = 1, 1, 0)</f>
      </c>
      <c r="K106" t="n" s="0">
        <v>2025.0</v>
      </c>
      <c r="L106" t="s" s="0">
        <v>24</v>
      </c>
      <c r="M106" t="s" s="0">
        <v>33</v>
      </c>
      <c r="N106" t="s" s="0">
        <v>95</v>
      </c>
      <c r="O106" t="s" s="0">
        <v>49</v>
      </c>
      <c r="P106" t="s" s="0">
        <v>36</v>
      </c>
      <c r="Q106" t="n" s="0">
        <v>21.0</v>
      </c>
      <c r="R106" t="s" s="0">
        <v>29</v>
      </c>
    </row>
    <row r="107">
      <c r="A107" t="n" s="3">
        <v>45923.674849537034</v>
      </c>
      <c r="B107" t="s" s="0">
        <v>18</v>
      </c>
      <c r="C107" t="s" s="0">
        <v>37</v>
      </c>
      <c r="D107" t="s" s="0">
        <v>75</v>
      </c>
      <c r="E107" t="s" s="0">
        <v>21</v>
      </c>
      <c r="F107" t="s" s="0">
        <v>31</v>
      </c>
      <c r="G107" t="s" s="0">
        <v>73</v>
      </c>
      <c r="H107" t="n" s="0">
        <v>936656.0</v>
      </c>
      <c r="I107" s="0">
        <f>1/COUNTIFS($H$5:$H$308,H107,$J$5:$J$308,1)</f>
      </c>
      <c r="J107" s="0">
        <f>IF(SUBTOTAL(103,H107) = 1, 1, 0)</f>
      </c>
      <c r="K107" t="n" s="0">
        <v>2025.0</v>
      </c>
      <c r="L107" t="s" s="0">
        <v>24</v>
      </c>
      <c r="M107" t="s" s="0">
        <v>33</v>
      </c>
      <c r="N107" t="s" s="0">
        <v>58</v>
      </c>
      <c r="O107" t="s" s="0">
        <v>110</v>
      </c>
      <c r="P107" t="s" s="0">
        <v>36</v>
      </c>
      <c r="Q107" t="n" s="0">
        <v>22.0</v>
      </c>
      <c r="R107" t="s" s="0">
        <v>29</v>
      </c>
    </row>
    <row r="108">
      <c r="A108" t="n" s="3">
        <v>45923.704988425925</v>
      </c>
      <c r="B108" t="s" s="0">
        <v>18</v>
      </c>
      <c r="C108" t="s" s="0">
        <v>37</v>
      </c>
      <c r="D108" t="s" s="0">
        <v>75</v>
      </c>
      <c r="E108" t="s" s="0">
        <v>21</v>
      </c>
      <c r="F108" t="s" s="0">
        <v>65</v>
      </c>
      <c r="G108" t="s" s="0">
        <v>32</v>
      </c>
      <c r="H108" t="n" s="0">
        <v>942899.0</v>
      </c>
      <c r="I108" s="0">
        <f>1/COUNTIFS($H$5:$H$308,H108,$J$5:$J$308,1)</f>
      </c>
      <c r="J108" s="0">
        <f>IF(SUBTOTAL(103,H108) = 1, 1, 0)</f>
      </c>
      <c r="K108" t="n" s="0">
        <v>2025.0</v>
      </c>
      <c r="L108" t="s" s="0">
        <v>24</v>
      </c>
      <c r="M108" t="s" s="0">
        <v>33</v>
      </c>
      <c r="N108" t="s" s="0">
        <v>26</v>
      </c>
      <c r="O108" t="s" s="0">
        <v>121</v>
      </c>
      <c r="P108" t="s" s="0">
        <v>36</v>
      </c>
      <c r="Q108" t="n" s="0">
        <v>19.0</v>
      </c>
      <c r="R108" t="s" s="0">
        <v>29</v>
      </c>
    </row>
    <row r="109">
      <c r="A109" t="n" s="3">
        <v>45924.375</v>
      </c>
      <c r="B109" t="s" s="0">
        <v>113</v>
      </c>
      <c r="C109" t="s" s="0">
        <v>37</v>
      </c>
      <c r="D109" t="s" s="0">
        <v>75</v>
      </c>
      <c r="E109" t="s" s="0">
        <v>21</v>
      </c>
      <c r="F109" t="s" s="0">
        <v>38</v>
      </c>
      <c r="G109" t="s" s="0">
        <v>32</v>
      </c>
      <c r="H109" t="n" s="0">
        <v>920639.0</v>
      </c>
      <c r="I109" s="0">
        <f>1/COUNTIFS($H$5:$H$308,H109,$J$5:$J$308,1)</f>
      </c>
      <c r="J109" s="0">
        <f>IF(SUBTOTAL(103,H109) = 1, 1, 0)</f>
      </c>
      <c r="K109" t="n" s="0">
        <v>2025.0</v>
      </c>
      <c r="L109" t="s" s="0">
        <v>24</v>
      </c>
      <c r="M109" t="s" s="0">
        <v>131</v>
      </c>
      <c r="N109" t="s" s="0">
        <v>26</v>
      </c>
      <c r="O109" t="s" s="0">
        <v>61</v>
      </c>
      <c r="P109" t="s" s="0">
        <v>36</v>
      </c>
      <c r="Q109" t="n" s="0">
        <v>22.0</v>
      </c>
      <c r="R109" t="s" s="0">
        <v>29</v>
      </c>
    </row>
    <row r="110">
      <c r="A110" t="n" s="3">
        <v>45924.415868055556</v>
      </c>
      <c r="B110" t="s" s="0">
        <v>18</v>
      </c>
      <c r="C110" t="s" s="0">
        <v>37</v>
      </c>
      <c r="D110" t="s" s="0">
        <v>99</v>
      </c>
      <c r="E110" t="s" s="0">
        <v>21</v>
      </c>
      <c r="F110" t="s" s="0">
        <v>67</v>
      </c>
      <c r="G110" t="s" s="0">
        <v>68</v>
      </c>
      <c r="H110" t="n" s="0">
        <v>707232.0</v>
      </c>
      <c r="I110" s="0">
        <f>1/COUNTIFS($H$5:$H$308,H110,$J$5:$J$308,1)</f>
      </c>
      <c r="J110" s="0">
        <f>IF(SUBTOTAL(103,H110) = 1, 1, 0)</f>
      </c>
      <c r="K110" t="n" s="0">
        <v>2025.0</v>
      </c>
      <c r="L110" t="s" s="0">
        <v>24</v>
      </c>
      <c r="M110" t="s" s="0">
        <v>25</v>
      </c>
      <c r="N110" t="s" s="0">
        <v>62</v>
      </c>
      <c r="O110" t="s" s="0">
        <v>27</v>
      </c>
      <c r="P110" t="s" s="0">
        <v>36</v>
      </c>
      <c r="Q110" t="n" s="0">
        <v>22.0</v>
      </c>
      <c r="R110" t="s" s="0">
        <v>150</v>
      </c>
    </row>
    <row r="111">
      <c r="A111" t="n" s="3">
        <v>45924.416666666664</v>
      </c>
      <c r="B111" t="s" s="0">
        <v>113</v>
      </c>
      <c r="C111" t="s" s="0">
        <v>37</v>
      </c>
      <c r="D111" t="s" s="0">
        <v>75</v>
      </c>
      <c r="E111" t="s" s="0">
        <v>21</v>
      </c>
      <c r="F111" t="s" s="0">
        <v>31</v>
      </c>
      <c r="G111" t="s" s="0">
        <v>32</v>
      </c>
      <c r="H111" t="n" s="0">
        <v>919863.0</v>
      </c>
      <c r="I111" s="0">
        <f>1/COUNTIFS($H$5:$H$308,H111,$J$5:$J$308,1)</f>
      </c>
      <c r="J111" s="0">
        <f>IF(SUBTOTAL(103,H111) = 1, 1, 0)</f>
      </c>
      <c r="K111" t="n" s="0">
        <v>2025.0</v>
      </c>
      <c r="L111" t="s" s="0">
        <v>24</v>
      </c>
      <c r="M111" t="s" s="0">
        <v>131</v>
      </c>
      <c r="N111" t="s" s="0">
        <v>26</v>
      </c>
      <c r="O111" t="s" s="0">
        <v>61</v>
      </c>
      <c r="P111" t="s" s="0">
        <v>36</v>
      </c>
      <c r="Q111" t="n" s="0">
        <v>19.0</v>
      </c>
      <c r="R111" t="s" s="0">
        <v>29</v>
      </c>
    </row>
    <row r="112">
      <c r="A112" t="n" s="3">
        <v>45924.5</v>
      </c>
      <c r="B112" t="s" s="0">
        <v>113</v>
      </c>
      <c r="C112" t="s" s="0">
        <v>37</v>
      </c>
      <c r="D112" t="s" s="0">
        <v>75</v>
      </c>
      <c r="E112" t="s" s="0">
        <v>21</v>
      </c>
      <c r="F112" t="s" s="0">
        <v>65</v>
      </c>
      <c r="G112" t="s" s="0">
        <v>66</v>
      </c>
      <c r="H112" t="n" s="0">
        <v>950005.0</v>
      </c>
      <c r="I112" s="0">
        <f>1/COUNTIFS($H$5:$H$308,H112,$J$5:$J$308,1)</f>
      </c>
      <c r="J112" s="0">
        <f>IF(SUBTOTAL(103,H112) = 1, 1, 0)</f>
      </c>
      <c r="K112" t="n" s="0">
        <v>2025.0</v>
      </c>
      <c r="L112" t="s" s="0">
        <v>24</v>
      </c>
      <c r="M112" t="s" s="0">
        <v>131</v>
      </c>
      <c r="N112" t="s" s="0">
        <v>26</v>
      </c>
      <c r="O112" t="s" s="0">
        <v>61</v>
      </c>
      <c r="P112" t="s" s="0">
        <v>36</v>
      </c>
      <c r="Q112" t="n" s="0">
        <v>19.0</v>
      </c>
      <c r="R112" t="s" s="0">
        <v>29</v>
      </c>
    </row>
    <row r="113">
      <c r="A113" t="n" s="3">
        <v>45924.61503472222</v>
      </c>
      <c r="B113" t="s" s="0">
        <v>18</v>
      </c>
      <c r="C113" t="s" s="0">
        <v>37</v>
      </c>
      <c r="D113" t="s" s="0">
        <v>30</v>
      </c>
      <c r="E113" t="s" s="0">
        <v>21</v>
      </c>
      <c r="F113" t="s" s="0">
        <v>38</v>
      </c>
      <c r="G113" t="s" s="0">
        <v>32</v>
      </c>
      <c r="H113" t="n" s="0">
        <v>870678.0</v>
      </c>
      <c r="I113" s="0">
        <f>1/COUNTIFS($H$5:$H$308,H113,$J$5:$J$308,1)</f>
      </c>
      <c r="J113" s="0">
        <f>IF(SUBTOTAL(103,H113) = 1, 1, 0)</f>
      </c>
      <c r="K113" t="n" s="0">
        <v>2025.0</v>
      </c>
      <c r="L113" t="s" s="0">
        <v>24</v>
      </c>
      <c r="M113" t="s" s="0">
        <v>25</v>
      </c>
      <c r="N113" t="s" s="0">
        <v>70</v>
      </c>
      <c r="O113" t="s" s="0">
        <v>151</v>
      </c>
      <c r="P113" t="s" s="0">
        <v>36</v>
      </c>
      <c r="Q113" t="n" s="0">
        <v>24.0</v>
      </c>
      <c r="R113" t="s" s="0">
        <v>29</v>
      </c>
    </row>
    <row r="114">
      <c r="A114" t="n" s="3">
        <v>45924.724131944444</v>
      </c>
      <c r="B114" t="s" s="0">
        <v>18</v>
      </c>
      <c r="C114" t="s" s="0">
        <v>37</v>
      </c>
      <c r="D114" t="s" s="0">
        <v>99</v>
      </c>
      <c r="E114" t="s" s="0">
        <v>21</v>
      </c>
      <c r="F114" t="s" s="0">
        <v>67</v>
      </c>
      <c r="G114" t="s" s="0">
        <v>122</v>
      </c>
      <c r="H114" t="n" s="0">
        <v>772597.0</v>
      </c>
      <c r="I114" s="0">
        <f>1/COUNTIFS($H$5:$H$308,H114,$J$5:$J$308,1)</f>
      </c>
      <c r="J114" s="0">
        <f>IF(SUBTOTAL(103,H114) = 1, 1, 0)</f>
      </c>
      <c r="K114" t="n" s="0">
        <v>2025.0</v>
      </c>
      <c r="L114" t="s" s="0">
        <v>24</v>
      </c>
      <c r="M114" t="s" s="0">
        <v>33</v>
      </c>
      <c r="N114" t="s" s="0">
        <v>95</v>
      </c>
      <c r="O114" t="s" s="0">
        <v>152</v>
      </c>
      <c r="P114" t="s" s="0">
        <v>36</v>
      </c>
      <c r="Q114" t="n" s="0">
        <v>21.0</v>
      </c>
      <c r="R114" t="s" s="0">
        <v>29</v>
      </c>
    </row>
    <row r="115">
      <c r="A115" t="n" s="3">
        <v>45925.71265046296</v>
      </c>
      <c r="B115" t="s" s="0">
        <v>18</v>
      </c>
      <c r="C115" t="s" s="0">
        <v>37</v>
      </c>
      <c r="D115" t="s" s="0">
        <v>30</v>
      </c>
      <c r="E115" t="s" s="0">
        <v>21</v>
      </c>
      <c r="F115" t="s" s="0">
        <v>43</v>
      </c>
      <c r="G115" t="s" s="0">
        <v>32</v>
      </c>
      <c r="H115" t="n" s="0">
        <v>822826.0</v>
      </c>
      <c r="I115" s="0">
        <f>1/COUNTIFS($H$5:$H$308,H115,$J$5:$J$308,1)</f>
      </c>
      <c r="J115" s="0">
        <f>IF(SUBTOTAL(103,H115) = 1, 1, 0)</f>
      </c>
      <c r="K115" t="n" s="0">
        <v>2021.0</v>
      </c>
      <c r="L115" t="s" s="0">
        <v>77</v>
      </c>
      <c r="M115" t="s" s="0">
        <v>78</v>
      </c>
      <c r="N115" t="s" s="0">
        <v>26</v>
      </c>
      <c r="O115" t="s" s="0">
        <v>153</v>
      </c>
      <c r="P115" t="s" s="0">
        <v>36</v>
      </c>
      <c r="Q115" t="n" s="0">
        <v>24.0</v>
      </c>
      <c r="R115" t="s" s="0">
        <v>29</v>
      </c>
    </row>
    <row r="116">
      <c r="A116" t="n" s="3">
        <v>45926.47403935185</v>
      </c>
      <c r="B116" t="s" s="0">
        <v>100</v>
      </c>
      <c r="C116" t="s" s="0">
        <v>37</v>
      </c>
      <c r="D116" t="s" s="0">
        <v>101</v>
      </c>
      <c r="E116" t="s" s="0">
        <v>21</v>
      </c>
      <c r="F116" t="s" s="0">
        <v>22</v>
      </c>
      <c r="G116" t="s" s="0">
        <v>32</v>
      </c>
      <c r="H116" t="n" s="0">
        <v>946997.0</v>
      </c>
      <c r="I116" s="0">
        <f>1/COUNTIFS($H$5:$H$308,H116,$J$5:$J$308,1)</f>
      </c>
      <c r="J116" s="0">
        <f>IF(SUBTOTAL(103,H116) = 1, 1, 0)</f>
      </c>
      <c r="K116" t="n" s="0">
        <v>2025.0</v>
      </c>
      <c r="L116" t="s" s="0">
        <v>24</v>
      </c>
      <c r="M116" t="s" s="0">
        <v>102</v>
      </c>
      <c r="N116" t="s" s="0">
        <v>58</v>
      </c>
      <c r="O116" t="s" s="0">
        <v>90</v>
      </c>
      <c r="P116" t="s" s="0">
        <v>28</v>
      </c>
      <c r="Q116" t="n" s="0">
        <v>29.0</v>
      </c>
      <c r="R116" t="s" s="0">
        <v>104</v>
      </c>
    </row>
    <row r="117">
      <c r="A117" t="n" s="3">
        <v>45926.50234953704</v>
      </c>
      <c r="B117" t="s" s="0">
        <v>18</v>
      </c>
      <c r="C117" t="s" s="0">
        <v>37</v>
      </c>
      <c r="D117" t="s" s="0">
        <v>99</v>
      </c>
      <c r="E117" t="s" s="0">
        <v>21</v>
      </c>
      <c r="F117" t="s" s="0">
        <v>22</v>
      </c>
      <c r="G117" t="s" s="0">
        <v>23</v>
      </c>
      <c r="H117" t="n" s="0">
        <v>700497.0</v>
      </c>
      <c r="I117" s="0">
        <f>1/COUNTIFS($H$5:$H$308,H117,$J$5:$J$308,1)</f>
      </c>
      <c r="J117" s="0">
        <f>IF(SUBTOTAL(103,H117) = 1, 1, 0)</f>
      </c>
      <c r="K117" t="n" s="0">
        <v>2025.0</v>
      </c>
      <c r="L117" t="s" s="0">
        <v>24</v>
      </c>
      <c r="M117" t="s" s="0">
        <v>33</v>
      </c>
      <c r="N117" t="s" s="0">
        <v>58</v>
      </c>
      <c r="O117" t="s" s="0">
        <v>152</v>
      </c>
      <c r="P117" t="s" s="0">
        <v>36</v>
      </c>
      <c r="Q117" t="n" s="0">
        <v>22.0</v>
      </c>
      <c r="R117" t="s" s="0">
        <v>29</v>
      </c>
    </row>
    <row r="118">
      <c r="A118" t="n" s="3">
        <v>45926.685</v>
      </c>
      <c r="B118" t="s" s="0">
        <v>100</v>
      </c>
      <c r="C118" t="s" s="0">
        <v>37</v>
      </c>
      <c r="D118" t="s" s="0">
        <v>101</v>
      </c>
      <c r="E118" t="s" s="0">
        <v>21</v>
      </c>
      <c r="F118" t="s" s="0">
        <v>52</v>
      </c>
      <c r="G118" t="s" s="0">
        <v>32</v>
      </c>
      <c r="H118" t="n" s="0">
        <v>1006954.0</v>
      </c>
      <c r="I118" s="0">
        <f>1/COUNTIFS($H$5:$H$308,H118,$J$5:$J$308,1)</f>
      </c>
      <c r="J118" s="0">
        <f>IF(SUBTOTAL(103,H118) = 1, 1, 0)</f>
      </c>
      <c r="K118" t="n" s="0">
        <v>2025.0</v>
      </c>
      <c r="L118" t="s" s="0">
        <v>24</v>
      </c>
      <c r="M118" t="s" s="0">
        <v>102</v>
      </c>
      <c r="N118" t="s" s="0">
        <v>95</v>
      </c>
      <c r="O118" t="s" s="0">
        <v>90</v>
      </c>
      <c r="P118" t="s" s="0">
        <v>36</v>
      </c>
      <c r="Q118" t="n" s="0">
        <v>23.0</v>
      </c>
      <c r="R118" t="s" s="0">
        <v>29</v>
      </c>
    </row>
    <row r="119">
      <c r="A119" t="n" s="3">
        <v>45926.687106481484</v>
      </c>
      <c r="B119" t="s" s="0">
        <v>100</v>
      </c>
      <c r="C119" t="s" s="0">
        <v>37</v>
      </c>
      <c r="D119" t="s" s="0">
        <v>101</v>
      </c>
      <c r="E119" t="s" s="0">
        <v>21</v>
      </c>
      <c r="F119" t="s" s="0">
        <v>52</v>
      </c>
      <c r="G119" t="s" s="0">
        <v>32</v>
      </c>
      <c r="H119" t="n" s="0">
        <v>1031059.0</v>
      </c>
      <c r="I119" s="0">
        <f>1/COUNTIFS($H$5:$H$308,H119,$J$5:$J$308,1)</f>
      </c>
      <c r="J119" s="0">
        <f>IF(SUBTOTAL(103,H119) = 1, 1, 0)</f>
      </c>
      <c r="K119" t="n" s="0">
        <v>2025.0</v>
      </c>
      <c r="L119" t="s" s="0">
        <v>24</v>
      </c>
      <c r="M119" t="s" s="0">
        <v>102</v>
      </c>
      <c r="N119" t="s" s="0">
        <v>55</v>
      </c>
      <c r="O119" t="s" s="0">
        <v>129</v>
      </c>
      <c r="P119" t="s" s="0">
        <v>36</v>
      </c>
      <c r="Q119" t="n" s="0">
        <v>23.0</v>
      </c>
      <c r="R119" t="s" s="0">
        <v>29</v>
      </c>
    </row>
    <row r="120">
      <c r="A120" t="n" s="3">
        <v>45926.690254629626</v>
      </c>
      <c r="B120" t="s" s="0">
        <v>100</v>
      </c>
      <c r="C120" t="s" s="0">
        <v>37</v>
      </c>
      <c r="D120" t="s" s="0">
        <v>101</v>
      </c>
      <c r="E120" t="s" s="0">
        <v>21</v>
      </c>
      <c r="F120" t="s" s="0">
        <v>38</v>
      </c>
      <c r="G120" t="s" s="0">
        <v>82</v>
      </c>
      <c r="H120" t="n" s="0">
        <v>1021205.0</v>
      </c>
      <c r="I120" s="0">
        <f>1/COUNTIFS($H$5:$H$308,H120,$J$5:$J$308,1)</f>
      </c>
      <c r="J120" s="0">
        <f>IF(SUBTOTAL(103,H120) = 1, 1, 0)</f>
      </c>
      <c r="K120" t="n" s="0">
        <v>2025.0</v>
      </c>
      <c r="L120" t="s" s="0">
        <v>24</v>
      </c>
      <c r="M120" t="s" s="0">
        <v>102</v>
      </c>
      <c r="N120" t="s" s="0">
        <v>55</v>
      </c>
      <c r="O120" t="s" s="0">
        <v>129</v>
      </c>
      <c r="P120" t="s" s="0">
        <v>36</v>
      </c>
      <c r="Q120" t="n" s="0">
        <v>19.0</v>
      </c>
      <c r="R120" t="s" s="0">
        <v>29</v>
      </c>
    </row>
    <row r="121">
      <c r="A121" t="n" s="3">
        <v>45929.420439814814</v>
      </c>
      <c r="B121" t="s" s="0">
        <v>18</v>
      </c>
      <c r="C121" t="s" s="0">
        <v>37</v>
      </c>
      <c r="D121" t="s" s="0">
        <v>30</v>
      </c>
      <c r="E121" t="s" s="0">
        <v>21</v>
      </c>
      <c r="F121" t="s" s="0">
        <v>31</v>
      </c>
      <c r="G121" t="s" s="0">
        <v>32</v>
      </c>
      <c r="H121" t="n" s="0">
        <v>855759.0</v>
      </c>
      <c r="I121" s="0">
        <f>1/COUNTIFS($H$5:$H$308,H121,$J$5:$J$308,1)</f>
      </c>
      <c r="J121" s="0">
        <f>IF(SUBTOTAL(103,H121) = 1, 1, 0)</f>
      </c>
      <c r="K121" t="n" s="0">
        <v>2025.0</v>
      </c>
      <c r="L121" t="s" s="0">
        <v>24</v>
      </c>
      <c r="M121" t="s" s="0">
        <v>33</v>
      </c>
      <c r="N121" t="s" s="0">
        <v>34</v>
      </c>
      <c r="O121" t="s" s="0">
        <v>44</v>
      </c>
      <c r="P121" t="s" s="0">
        <v>36</v>
      </c>
      <c r="Q121" t="n" s="0">
        <v>21.0</v>
      </c>
      <c r="R121" t="s" s="0">
        <v>29</v>
      </c>
    </row>
    <row r="122">
      <c r="A122" t="n" s="3">
        <v>45929.50525462963</v>
      </c>
      <c r="B122" t="s" s="0">
        <v>18</v>
      </c>
      <c r="C122" t="s" s="0">
        <v>37</v>
      </c>
      <c r="D122" t="s" s="0">
        <v>99</v>
      </c>
      <c r="E122" t="s" s="0">
        <v>21</v>
      </c>
      <c r="F122" t="s" s="0">
        <v>31</v>
      </c>
      <c r="G122" t="s" s="0">
        <v>32</v>
      </c>
      <c r="H122" t="n" s="0">
        <v>929496.0</v>
      </c>
      <c r="I122" s="0">
        <f>1/COUNTIFS($H$5:$H$308,H122,$J$5:$J$308,1)</f>
      </c>
      <c r="J122" s="0">
        <f>IF(SUBTOTAL(103,H122) = 1, 1, 0)</f>
      </c>
      <c r="K122" t="n" s="0">
        <v>2025.0</v>
      </c>
      <c r="L122" t="s" s="0">
        <v>24</v>
      </c>
      <c r="M122" t="s" s="0">
        <v>33</v>
      </c>
      <c r="N122" t="s" s="0">
        <v>26</v>
      </c>
      <c r="O122" t="s" s="0">
        <v>44</v>
      </c>
      <c r="P122" t="s" s="0">
        <v>36</v>
      </c>
      <c r="Q122" t="n" s="0">
        <v>19.0</v>
      </c>
      <c r="R122" t="s" s="0">
        <v>29</v>
      </c>
    </row>
    <row r="123">
      <c r="A123" t="n" s="3">
        <v>45929.5790162037</v>
      </c>
      <c r="B123" t="s" s="0">
        <v>18</v>
      </c>
      <c r="C123" t="s" s="0">
        <v>19</v>
      </c>
      <c r="D123" t="s" s="0">
        <v>63</v>
      </c>
      <c r="E123" t="s" s="0">
        <v>21</v>
      </c>
      <c r="F123" t="s" s="0">
        <v>65</v>
      </c>
      <c r="G123" t="s" s="0">
        <v>119</v>
      </c>
      <c r="H123" t="n" s="0">
        <v>945918.0</v>
      </c>
      <c r="I123" s="0">
        <f>1/COUNTIFS($H$5:$H$308,H123,$J$5:$J$308,1)</f>
      </c>
      <c r="J123" s="0">
        <f>IF(SUBTOTAL(103,H123) = 1, 1, 0)</f>
      </c>
      <c r="K123" t="n" s="0">
        <v>2024.0</v>
      </c>
      <c r="L123" t="s" s="0">
        <v>24</v>
      </c>
      <c r="M123" t="s" s="0">
        <v>57</v>
      </c>
      <c r="N123" t="s" s="0">
        <v>55</v>
      </c>
      <c r="O123" t="s" s="0">
        <v>89</v>
      </c>
      <c r="P123" t="s" s="0">
        <v>36</v>
      </c>
      <c r="Q123" t="n" s="0">
        <v>21.0</v>
      </c>
      <c r="R123" t="s" s="0">
        <v>132</v>
      </c>
    </row>
    <row r="124">
      <c r="A124" t="n" s="3">
        <v>45929.58541666667</v>
      </c>
      <c r="B124" t="s" s="0">
        <v>18</v>
      </c>
      <c r="C124" t="s" s="0">
        <v>37</v>
      </c>
      <c r="D124" t="s" s="0">
        <v>63</v>
      </c>
      <c r="E124" t="s" s="0">
        <v>21</v>
      </c>
      <c r="F124" t="s" s="0">
        <v>52</v>
      </c>
      <c r="G124" t="s" s="0">
        <v>53</v>
      </c>
      <c r="H124" t="n" s="0">
        <v>839905.0</v>
      </c>
      <c r="I124" s="0">
        <f>1/COUNTIFS($H$5:$H$308,H124,$J$5:$J$308,1)</f>
      </c>
      <c r="J124" s="0">
        <f>IF(SUBTOTAL(103,H124) = 1, 1, 0)</f>
      </c>
      <c r="K124" t="n" s="0">
        <v>2025.0</v>
      </c>
      <c r="L124" t="s" s="0">
        <v>24</v>
      </c>
      <c r="M124" t="s" s="0">
        <v>123</v>
      </c>
      <c r="N124" t="s" s="0">
        <v>34</v>
      </c>
      <c r="O124" t="s" s="0">
        <v>154</v>
      </c>
      <c r="P124" t="s" s="0">
        <v>36</v>
      </c>
      <c r="Q124" t="n" s="0">
        <v>21.0</v>
      </c>
      <c r="R124" t="s" s="0">
        <v>29</v>
      </c>
    </row>
    <row r="125">
      <c r="A125" t="n" s="3">
        <v>45929.61918981482</v>
      </c>
      <c r="B125" t="s" s="0">
        <v>100</v>
      </c>
      <c r="C125" t="s" s="0">
        <v>37</v>
      </c>
      <c r="D125" t="s" s="0">
        <v>101</v>
      </c>
      <c r="E125" t="s" s="0">
        <v>21</v>
      </c>
      <c r="F125" t="s" s="0">
        <v>65</v>
      </c>
      <c r="G125" t="s" s="0">
        <v>66</v>
      </c>
      <c r="H125" t="n" s="0">
        <v>1006954.0</v>
      </c>
      <c r="I125" s="0">
        <f>1/COUNTIFS($H$5:$H$308,H125,$J$5:$J$308,1)</f>
      </c>
      <c r="J125" s="0">
        <f>IF(SUBTOTAL(103,H125) = 1, 1, 0)</f>
      </c>
      <c r="K125" t="n" s="0">
        <v>2025.0</v>
      </c>
      <c r="L125" t="s" s="0">
        <v>24</v>
      </c>
      <c r="M125" t="s" s="0">
        <v>102</v>
      </c>
      <c r="N125" t="s" s="0">
        <v>95</v>
      </c>
      <c r="O125" t="s" s="0">
        <v>90</v>
      </c>
      <c r="P125" t="s" s="0">
        <v>36</v>
      </c>
      <c r="Q125" t="n" s="0">
        <v>23.0</v>
      </c>
      <c r="R125" t="s" s="0">
        <v>29</v>
      </c>
    </row>
    <row r="126">
      <c r="A126" t="n" s="3">
        <v>45929.62337962963</v>
      </c>
      <c r="B126" t="s" s="0">
        <v>100</v>
      </c>
      <c r="C126" t="s" s="0">
        <v>37</v>
      </c>
      <c r="D126" t="s" s="0">
        <v>101</v>
      </c>
      <c r="E126" t="s" s="0">
        <v>21</v>
      </c>
      <c r="F126" t="s" s="0">
        <v>38</v>
      </c>
      <c r="G126" t="s" s="0">
        <v>32</v>
      </c>
      <c r="H126" t="n" s="0">
        <v>1001938.0</v>
      </c>
      <c r="I126" s="0">
        <f>1/COUNTIFS($H$5:$H$308,H126,$J$5:$J$308,1)</f>
      </c>
      <c r="J126" s="0">
        <f>IF(SUBTOTAL(103,H126) = 1, 1, 0)</f>
      </c>
      <c r="K126" t="n" s="0">
        <v>2025.0</v>
      </c>
      <c r="L126" t="s" s="0">
        <v>24</v>
      </c>
      <c r="M126" t="s" s="0">
        <v>102</v>
      </c>
      <c r="N126" t="s" s="0">
        <v>95</v>
      </c>
      <c r="O126" t="s" s="0">
        <v>90</v>
      </c>
      <c r="P126" t="s" s="0">
        <v>36</v>
      </c>
      <c r="Q126" t="n" s="0">
        <v>21.0</v>
      </c>
      <c r="R126" t="s" s="0">
        <v>29</v>
      </c>
    </row>
    <row r="127">
      <c r="A127" t="n" s="3">
        <v>45929.630949074075</v>
      </c>
      <c r="B127" t="s" s="0">
        <v>100</v>
      </c>
      <c r="C127" t="s" s="0">
        <v>37</v>
      </c>
      <c r="D127" t="s" s="0">
        <v>101</v>
      </c>
      <c r="E127" t="s" s="0">
        <v>21</v>
      </c>
      <c r="F127" t="s" s="0">
        <v>52</v>
      </c>
      <c r="G127" t="s" s="0">
        <v>60</v>
      </c>
      <c r="H127" t="n" s="0">
        <v>1000706.0</v>
      </c>
      <c r="I127" s="0">
        <f>1/COUNTIFS($H$5:$H$308,H127,$J$5:$J$308,1)</f>
      </c>
      <c r="J127" s="0">
        <f>IF(SUBTOTAL(103,H127) = 1, 1, 0)</f>
      </c>
      <c r="K127" t="n" s="0">
        <v>2025.0</v>
      </c>
      <c r="L127" t="s" s="0">
        <v>24</v>
      </c>
      <c r="M127" t="s" s="0">
        <v>102</v>
      </c>
      <c r="N127" t="s" s="0">
        <v>55</v>
      </c>
      <c r="O127" t="s" s="0">
        <v>127</v>
      </c>
      <c r="P127" t="s" s="0">
        <v>36</v>
      </c>
      <c r="Q127" t="n" s="0">
        <v>23.0</v>
      </c>
      <c r="R127" t="s" s="0">
        <v>29</v>
      </c>
    </row>
    <row r="128">
      <c r="A128" t="n" s="3">
        <v>45930.47809027778</v>
      </c>
      <c r="B128" t="s" s="0">
        <v>18</v>
      </c>
      <c r="C128" t="s" s="0">
        <v>37</v>
      </c>
      <c r="D128" t="s" s="0">
        <v>75</v>
      </c>
      <c r="E128" t="s" s="0">
        <v>21</v>
      </c>
      <c r="F128" t="s" s="0">
        <v>52</v>
      </c>
      <c r="G128" t="s" s="0">
        <v>86</v>
      </c>
      <c r="H128" t="n" s="0">
        <v>691388.0</v>
      </c>
      <c r="I128" s="0">
        <f>1/COUNTIFS($H$5:$H$308,H128,$J$5:$J$308,1)</f>
      </c>
      <c r="J128" s="0">
        <f>IF(SUBTOTAL(103,H128) = 1, 1, 0)</f>
      </c>
      <c r="K128" t="n" s="0">
        <v>2025.0</v>
      </c>
      <c r="L128" t="s" s="0">
        <v>24</v>
      </c>
      <c r="M128" t="s" s="0">
        <v>57</v>
      </c>
      <c r="N128" t="s" s="0">
        <v>95</v>
      </c>
      <c r="O128" t="s" s="0">
        <v>155</v>
      </c>
      <c r="P128" t="s" s="0">
        <v>28</v>
      </c>
      <c r="Q128" t="n" s="0">
        <v>22.0</v>
      </c>
      <c r="R128" t="s" s="0">
        <v>29</v>
      </c>
    </row>
    <row r="129">
      <c r="A129" t="n" s="3">
        <v>45931.437372685185</v>
      </c>
      <c r="B129" t="s" s="0">
        <v>18</v>
      </c>
      <c r="C129" t="s" s="0">
        <v>37</v>
      </c>
      <c r="D129" t="s" s="0">
        <v>99</v>
      </c>
      <c r="E129" t="s" s="0">
        <v>21</v>
      </c>
      <c r="F129" t="s" s="0">
        <v>31</v>
      </c>
      <c r="G129" t="s" s="0">
        <v>32</v>
      </c>
      <c r="H129" t="n" s="0">
        <v>923122.0</v>
      </c>
      <c r="I129" s="0">
        <f>1/COUNTIFS($H$5:$H$308,H129,$J$5:$J$308,1)</f>
      </c>
      <c r="J129" s="0">
        <f>IF(SUBTOTAL(103,H129) = 1, 1, 0)</f>
      </c>
      <c r="K129" t="n" s="0">
        <v>2025.0</v>
      </c>
      <c r="L129" t="s" s="0">
        <v>24</v>
      </c>
      <c r="M129" t="s" s="0">
        <v>123</v>
      </c>
      <c r="N129" t="s" s="0">
        <v>26</v>
      </c>
      <c r="O129" t="s" s="0">
        <v>156</v>
      </c>
      <c r="P129" t="s" s="0">
        <v>36</v>
      </c>
      <c r="Q129" t="n" s="0">
        <v>19.0</v>
      </c>
      <c r="R129" t="s" s="0">
        <v>29</v>
      </c>
    </row>
    <row r="130">
      <c r="A130" t="n" s="3">
        <v>45931.49010416667</v>
      </c>
      <c r="B130" t="s" s="0">
        <v>18</v>
      </c>
      <c r="C130" t="s" s="0">
        <v>37</v>
      </c>
      <c r="D130" t="s" s="0">
        <v>99</v>
      </c>
      <c r="E130" t="s" s="0">
        <v>21</v>
      </c>
      <c r="F130" t="s" s="0">
        <v>52</v>
      </c>
      <c r="G130" t="s" s="0">
        <v>32</v>
      </c>
      <c r="H130" t="n" s="0">
        <v>835512.0</v>
      </c>
      <c r="I130" s="0">
        <f>1/COUNTIFS($H$5:$H$308,H130,$J$5:$J$308,1)</f>
      </c>
      <c r="J130" s="0">
        <f>IF(SUBTOTAL(103,H130) = 1, 1, 0)</f>
      </c>
      <c r="K130" t="n" s="0">
        <v>2025.0</v>
      </c>
      <c r="L130" t="s" s="0">
        <v>24</v>
      </c>
      <c r="M130" t="s" s="0">
        <v>33</v>
      </c>
      <c r="N130" t="s" s="0">
        <v>34</v>
      </c>
      <c r="O130" t="s" s="0">
        <v>85</v>
      </c>
      <c r="P130" t="s" s="0">
        <v>36</v>
      </c>
      <c r="Q130" t="n" s="0">
        <v>23.0</v>
      </c>
      <c r="R130" t="s" s="0">
        <v>29</v>
      </c>
    </row>
    <row r="131">
      <c r="A131" t="n" s="3">
        <v>45931.61604166667</v>
      </c>
      <c r="B131" t="s" s="0">
        <v>18</v>
      </c>
      <c r="C131" t="s" s="0">
        <v>37</v>
      </c>
      <c r="D131" t="s" s="0">
        <v>99</v>
      </c>
      <c r="E131" t="s" s="0">
        <v>21</v>
      </c>
      <c r="F131" t="s" s="0">
        <v>52</v>
      </c>
      <c r="G131" t="s" s="0">
        <v>126</v>
      </c>
      <c r="H131" t="n" s="0">
        <v>939025.0</v>
      </c>
      <c r="I131" s="0">
        <f>1/COUNTIFS($H$5:$H$308,H131,$J$5:$J$308,1)</f>
      </c>
      <c r="J131" s="0">
        <f>IF(SUBTOTAL(103,H131) = 1, 1, 0)</f>
      </c>
      <c r="K131" t="n" s="0">
        <v>2025.0</v>
      </c>
      <c r="L131" t="s" s="0">
        <v>24</v>
      </c>
      <c r="M131" t="s" s="0">
        <v>25</v>
      </c>
      <c r="N131" t="s" s="0">
        <v>26</v>
      </c>
      <c r="O131" t="s" s="0">
        <v>157</v>
      </c>
      <c r="P131" t="s" s="0">
        <v>36</v>
      </c>
      <c r="Q131" t="n" s="0">
        <v>19.0</v>
      </c>
      <c r="R131" t="s" s="0">
        <v>29</v>
      </c>
    </row>
    <row r="132">
      <c r="A132" t="n" s="3">
        <v>45933.405185185184</v>
      </c>
      <c r="B132" t="s" s="0">
        <v>100</v>
      </c>
      <c r="C132" t="s" s="0">
        <v>37</v>
      </c>
      <c r="D132" t="s" s="0">
        <v>101</v>
      </c>
      <c r="E132" t="s" s="0">
        <v>21</v>
      </c>
      <c r="F132" t="s" s="0">
        <v>65</v>
      </c>
      <c r="G132" t="s" s="0">
        <v>32</v>
      </c>
      <c r="H132" t="n" s="0">
        <v>998126.0</v>
      </c>
      <c r="I132" s="0">
        <f>1/COUNTIFS($H$5:$H$308,H132,$J$5:$J$308,1)</f>
      </c>
      <c r="J132" s="0">
        <f>IF(SUBTOTAL(103,H132) = 1, 1, 0)</f>
      </c>
      <c r="K132" t="n" s="0">
        <v>2025.0</v>
      </c>
      <c r="L132" t="s" s="0">
        <v>24</v>
      </c>
      <c r="M132" t="s" s="0">
        <v>102</v>
      </c>
      <c r="N132" t="s" s="0">
        <v>95</v>
      </c>
      <c r="O132" t="s" s="0">
        <v>90</v>
      </c>
      <c r="P132" t="s" s="0">
        <v>36</v>
      </c>
      <c r="Q132" t="n" s="0">
        <v>23.0</v>
      </c>
      <c r="R132" t="s" s="0">
        <v>29</v>
      </c>
    </row>
    <row r="133">
      <c r="A133" t="n" s="3">
        <v>45933.463541666664</v>
      </c>
      <c r="B133" t="s" s="0">
        <v>100</v>
      </c>
      <c r="C133" t="s" s="0">
        <v>37</v>
      </c>
      <c r="D133" t="s" s="0">
        <v>101</v>
      </c>
      <c r="E133" t="s" s="0">
        <v>21</v>
      </c>
      <c r="F133" t="s" s="0">
        <v>22</v>
      </c>
      <c r="G133" t="s" s="0">
        <v>32</v>
      </c>
      <c r="H133" t="n" s="0">
        <v>946997.0</v>
      </c>
      <c r="I133" s="0">
        <f>1/COUNTIFS($H$5:$H$308,H133,$J$5:$J$308,1)</f>
      </c>
      <c r="J133" s="0">
        <f>IF(SUBTOTAL(103,H133) = 1, 1, 0)</f>
      </c>
      <c r="K133" t="n" s="0">
        <v>2025.0</v>
      </c>
      <c r="L133" t="s" s="0">
        <v>24</v>
      </c>
      <c r="M133" t="s" s="0">
        <v>102</v>
      </c>
      <c r="N133" t="s" s="0">
        <v>58</v>
      </c>
      <c r="O133" t="s" s="0">
        <v>90</v>
      </c>
      <c r="P133" t="s" s="0">
        <v>28</v>
      </c>
      <c r="Q133" t="n" s="0">
        <v>29.0</v>
      </c>
      <c r="R133" t="s" s="0">
        <v>104</v>
      </c>
    </row>
    <row r="134">
      <c r="A134" t="n" s="3">
        <v>45936.395462962966</v>
      </c>
      <c r="B134" t="s" s="0">
        <v>18</v>
      </c>
      <c r="C134" t="s" s="0">
        <v>19</v>
      </c>
      <c r="D134" t="s" s="0">
        <v>63</v>
      </c>
      <c r="E134" t="s" s="0">
        <v>21</v>
      </c>
      <c r="F134" t="s" s="0">
        <v>67</v>
      </c>
      <c r="G134" t="s" s="0">
        <v>96</v>
      </c>
      <c r="H134" t="n" s="0">
        <v>1037139.0</v>
      </c>
      <c r="I134" s="0">
        <f>1/COUNTIFS($H$5:$H$308,H134,$J$5:$J$308,1)</f>
      </c>
      <c r="J134" s="0">
        <f>IF(SUBTOTAL(103,H134) = 1, 1, 0)</f>
      </c>
      <c r="K134" t="n" s="0">
        <v>2025.0</v>
      </c>
      <c r="L134" t="s" s="0">
        <v>134</v>
      </c>
      <c r="M134" t="s" s="0">
        <v>134</v>
      </c>
      <c r="N134" t="s" s="0">
        <v>55</v>
      </c>
      <c r="O134" t="s" s="0">
        <v>19</v>
      </c>
      <c r="P134" t="s" s="0">
        <v>36</v>
      </c>
      <c r="Q134" t="n" s="0">
        <v>18.0</v>
      </c>
      <c r="R134" t="s" s="0">
        <v>29</v>
      </c>
    </row>
    <row r="135">
      <c r="A135" t="n" s="3">
        <v>45936.39699074074</v>
      </c>
      <c r="B135" t="s" s="0">
        <v>18</v>
      </c>
      <c r="C135" t="s" s="0">
        <v>19</v>
      </c>
      <c r="D135" t="s" s="0">
        <v>63</v>
      </c>
      <c r="E135" t="s" s="0">
        <v>21</v>
      </c>
      <c r="F135" t="s" s="0">
        <v>38</v>
      </c>
      <c r="G135" t="s" s="0">
        <v>82</v>
      </c>
      <c r="H135" t="n" s="0">
        <v>940365.0</v>
      </c>
      <c r="I135" s="0">
        <f>1/COUNTIFS($H$5:$H$308,H135,$J$5:$J$308,1)</f>
      </c>
      <c r="J135" s="0">
        <f>IF(SUBTOTAL(103,H135) = 1, 1, 0)</f>
      </c>
      <c r="K135" t="n" s="0">
        <v>2025.0</v>
      </c>
      <c r="L135" t="s" s="0">
        <v>24</v>
      </c>
      <c r="M135" t="s" s="0">
        <v>33</v>
      </c>
      <c r="N135" t="s" s="0">
        <v>26</v>
      </c>
      <c r="O135" t="s" s="0">
        <v>35</v>
      </c>
      <c r="P135" t="s" s="0">
        <v>28</v>
      </c>
      <c r="Q135" t="n" s="0">
        <v>19.0</v>
      </c>
      <c r="R135" t="s" s="0">
        <v>29</v>
      </c>
    </row>
    <row r="136">
      <c r="A136" t="n" s="3">
        <v>45936.45180555555</v>
      </c>
      <c r="B136" t="s" s="0">
        <v>18</v>
      </c>
      <c r="C136" t="s" s="0">
        <v>37</v>
      </c>
      <c r="D136" t="s" s="0">
        <v>99</v>
      </c>
      <c r="E136" t="s" s="0">
        <v>21</v>
      </c>
      <c r="F136" t="s" s="0">
        <v>117</v>
      </c>
      <c r="G136" t="s" s="0">
        <v>118</v>
      </c>
      <c r="H136" t="n" s="0">
        <v>950799.0</v>
      </c>
      <c r="I136" s="0">
        <f>1/COUNTIFS($H$5:$H$308,H136,$J$5:$J$308,1)</f>
      </c>
      <c r="J136" s="0">
        <f>IF(SUBTOTAL(103,H136) = 1, 1, 0)</f>
      </c>
      <c r="K136" t="n" s="0">
        <v>2024.0</v>
      </c>
      <c r="L136" t="s" s="0">
        <v>24</v>
      </c>
      <c r="M136" t="s" s="0">
        <v>25</v>
      </c>
      <c r="N136" t="s" s="0">
        <v>95</v>
      </c>
      <c r="O136" t="s" s="0">
        <v>158</v>
      </c>
      <c r="P136" t="s" s="0">
        <v>28</v>
      </c>
      <c r="Q136" t="n" s="0">
        <v>28.0</v>
      </c>
      <c r="R136" t="s" s="0">
        <v>159</v>
      </c>
    </row>
    <row r="137">
      <c r="A137" t="n" s="3">
        <v>45936.50001157408</v>
      </c>
      <c r="B137" t="s" s="0">
        <v>18</v>
      </c>
      <c r="C137" t="s" s="0">
        <v>37</v>
      </c>
      <c r="D137" t="s" s="0">
        <v>75</v>
      </c>
      <c r="E137" t="s" s="0">
        <v>21</v>
      </c>
      <c r="F137" t="s" s="0">
        <v>38</v>
      </c>
      <c r="G137" t="s" s="0">
        <v>82</v>
      </c>
      <c r="H137" t="n" s="0">
        <v>834940.0</v>
      </c>
      <c r="I137" s="0">
        <f>1/COUNTIFS($H$5:$H$308,H137,$J$5:$J$308,1)</f>
      </c>
      <c r="J137" s="0">
        <f>IF(SUBTOTAL(103,H137) = 1, 1, 0)</f>
      </c>
      <c r="K137" t="n" s="0">
        <v>2025.0</v>
      </c>
      <c r="L137" t="s" s="0">
        <v>24</v>
      </c>
      <c r="M137" t="s" s="0">
        <v>33</v>
      </c>
      <c r="N137" t="s" s="0">
        <v>34</v>
      </c>
      <c r="O137" t="s" s="0">
        <v>35</v>
      </c>
      <c r="P137" t="s" s="0">
        <v>36</v>
      </c>
      <c r="Q137" t="n" s="0">
        <v>21.0</v>
      </c>
      <c r="R137" t="s" s="0">
        <v>29</v>
      </c>
    </row>
    <row r="138">
      <c r="A138" t="n" s="3">
        <v>45936.504791666666</v>
      </c>
      <c r="B138" t="s" s="0">
        <v>18</v>
      </c>
      <c r="C138" t="s" s="0">
        <v>19</v>
      </c>
      <c r="D138" t="s" s="0">
        <v>99</v>
      </c>
      <c r="E138" t="s" s="0">
        <v>21</v>
      </c>
      <c r="F138" t="s" s="0">
        <v>117</v>
      </c>
      <c r="G138" t="s" s="0">
        <v>118</v>
      </c>
      <c r="H138" t="n" s="0">
        <v>929496.0</v>
      </c>
      <c r="I138" s="0">
        <f>1/COUNTIFS($H$5:$H$308,H138,$J$5:$J$308,1)</f>
      </c>
      <c r="J138" s="0">
        <f>IF(SUBTOTAL(103,H138) = 1, 1, 0)</f>
      </c>
      <c r="K138" t="n" s="0">
        <v>2025.0</v>
      </c>
      <c r="L138" t="s" s="0">
        <v>24</v>
      </c>
      <c r="M138" t="s" s="0">
        <v>33</v>
      </c>
      <c r="N138" t="s" s="0">
        <v>26</v>
      </c>
      <c r="O138" t="s" s="0">
        <v>44</v>
      </c>
      <c r="P138" t="s" s="0">
        <v>36</v>
      </c>
      <c r="Q138" t="n" s="0">
        <v>19.0</v>
      </c>
      <c r="R138" t="s" s="0">
        <v>29</v>
      </c>
    </row>
    <row r="139">
      <c r="A139" t="n" s="3">
        <v>45936.57168981482</v>
      </c>
      <c r="B139" t="s" s="0">
        <v>100</v>
      </c>
      <c r="C139" t="s" s="0">
        <v>37</v>
      </c>
      <c r="D139" t="s" s="0">
        <v>101</v>
      </c>
      <c r="E139" t="s" s="0">
        <v>21</v>
      </c>
      <c r="F139" t="s" s="0">
        <v>52</v>
      </c>
      <c r="G139" t="s" s="0">
        <v>60</v>
      </c>
      <c r="H139" t="n" s="0">
        <v>1000706.0</v>
      </c>
      <c r="I139" s="0">
        <f>1/COUNTIFS($H$5:$H$308,H139,$J$5:$J$308,1)</f>
      </c>
      <c r="J139" s="0">
        <f>IF(SUBTOTAL(103,H139) = 1, 1, 0)</f>
      </c>
      <c r="K139" t="n" s="0">
        <v>2025.0</v>
      </c>
      <c r="L139" t="s" s="0">
        <v>24</v>
      </c>
      <c r="M139" t="s" s="0">
        <v>102</v>
      </c>
      <c r="N139" t="s" s="0">
        <v>55</v>
      </c>
      <c r="O139" t="s" s="0">
        <v>127</v>
      </c>
      <c r="P139" t="s" s="0">
        <v>36</v>
      </c>
      <c r="Q139" t="n" s="0">
        <v>23.0</v>
      </c>
      <c r="R139" t="s" s="0">
        <v>29</v>
      </c>
    </row>
    <row r="140">
      <c r="A140" t="n" s="3">
        <v>45936.67769675926</v>
      </c>
      <c r="B140" t="s" s="0">
        <v>100</v>
      </c>
      <c r="C140" t="s" s="0">
        <v>37</v>
      </c>
      <c r="D140" t="s" s="0">
        <v>101</v>
      </c>
      <c r="E140" t="s" s="0">
        <v>21</v>
      </c>
      <c r="F140" t="s" s="0">
        <v>65</v>
      </c>
      <c r="G140" t="s" s="0">
        <v>32</v>
      </c>
      <c r="H140" t="n" s="0">
        <v>1021205.0</v>
      </c>
      <c r="I140" s="0">
        <f>1/COUNTIFS($H$5:$H$308,H140,$J$5:$J$308,1)</f>
      </c>
      <c r="J140" s="0">
        <f>IF(SUBTOTAL(103,H140) = 1, 1, 0)</f>
      </c>
      <c r="K140" t="n" s="0">
        <v>2025.0</v>
      </c>
      <c r="L140" t="s" s="0">
        <v>24</v>
      </c>
      <c r="M140" t="s" s="0">
        <v>102</v>
      </c>
      <c r="N140" t="s" s="0">
        <v>55</v>
      </c>
      <c r="O140" t="s" s="0">
        <v>129</v>
      </c>
      <c r="P140" t="s" s="0">
        <v>36</v>
      </c>
      <c r="Q140" t="n" s="0">
        <v>19.0</v>
      </c>
      <c r="R140" t="s" s="0">
        <v>29</v>
      </c>
    </row>
    <row r="141">
      <c r="A141" t="n" s="3">
        <v>45937.63759259259</v>
      </c>
      <c r="B141" t="s" s="0">
        <v>18</v>
      </c>
      <c r="C141" t="s" s="0">
        <v>19</v>
      </c>
      <c r="D141" t="s" s="0">
        <v>63</v>
      </c>
      <c r="E141" t="s" s="0">
        <v>21</v>
      </c>
      <c r="F141" t="s" s="0">
        <v>38</v>
      </c>
      <c r="G141" t="s" s="0">
        <v>39</v>
      </c>
      <c r="H141" t="n" s="0">
        <v>999790.0</v>
      </c>
      <c r="I141" s="0">
        <f>1/COUNTIFS($H$5:$H$308,H141,$J$5:$J$308,1)</f>
      </c>
      <c r="J141" s="0">
        <f>IF(SUBTOTAL(103,H141) = 1, 1, 0)</f>
      </c>
      <c r="K141" t="n" s="0">
        <v>2025.0</v>
      </c>
      <c r="L141" t="s" s="0">
        <v>24</v>
      </c>
      <c r="M141" t="s" s="0">
        <v>160</v>
      </c>
      <c r="N141" t="s" s="0">
        <v>55</v>
      </c>
      <c r="O141" t="s" s="0">
        <v>161</v>
      </c>
      <c r="P141" t="s" s="0">
        <v>36</v>
      </c>
      <c r="Q141" t="n" s="0">
        <v>19.0</v>
      </c>
      <c r="R141" t="s" s="0">
        <v>29</v>
      </c>
    </row>
    <row r="142">
      <c r="A142" t="n" s="3">
        <v>45938.453738425924</v>
      </c>
      <c r="B142" t="s" s="0">
        <v>18</v>
      </c>
      <c r="C142" t="s" s="0">
        <v>37</v>
      </c>
      <c r="D142" t="s" s="0">
        <v>99</v>
      </c>
      <c r="E142" t="s" s="0">
        <v>21</v>
      </c>
      <c r="F142" t="s" s="0">
        <v>117</v>
      </c>
      <c r="G142" t="s" s="0">
        <v>118</v>
      </c>
      <c r="H142" t="n" s="0">
        <v>502480.0</v>
      </c>
      <c r="I142" s="0">
        <f>1/COUNTIFS($H$5:$H$308,H142,$J$5:$J$308,1)</f>
      </c>
      <c r="J142" s="0">
        <f>IF(SUBTOTAL(103,H142) = 1, 1, 0)</f>
      </c>
      <c r="K142" t="n" s="0">
        <v>2025.0</v>
      </c>
      <c r="L142" t="s" s="0">
        <v>24</v>
      </c>
      <c r="M142" t="s" s="0">
        <v>97</v>
      </c>
      <c r="N142" t="s" s="0">
        <v>95</v>
      </c>
      <c r="O142" t="s" s="0">
        <v>162</v>
      </c>
      <c r="P142" t="s" s="0">
        <v>36</v>
      </c>
      <c r="Q142" t="n" s="0">
        <v>25.0</v>
      </c>
      <c r="R142" t="s" s="0">
        <v>29</v>
      </c>
    </row>
    <row r="143">
      <c r="A143" t="n" s="3">
        <v>45940.66642361111</v>
      </c>
      <c r="B143" t="s" s="0">
        <v>100</v>
      </c>
      <c r="C143" t="s" s="0">
        <v>37</v>
      </c>
      <c r="D143" t="s" s="0">
        <v>101</v>
      </c>
      <c r="E143" t="s" s="0">
        <v>21</v>
      </c>
      <c r="F143" t="s" s="0">
        <v>65</v>
      </c>
      <c r="G143" t="s" s="0">
        <v>32</v>
      </c>
      <c r="H143" t="n" s="0">
        <v>946997.0</v>
      </c>
      <c r="I143" s="0">
        <f>1/COUNTIFS($H$5:$H$308,H143,$J$5:$J$308,1)</f>
      </c>
      <c r="J143" s="0">
        <f>IF(SUBTOTAL(103,H143) = 1, 1, 0)</f>
      </c>
      <c r="K143" t="n" s="0">
        <v>2025.0</v>
      </c>
      <c r="L143" t="s" s="0">
        <v>24</v>
      </c>
      <c r="M143" t="s" s="0">
        <v>102</v>
      </c>
      <c r="N143" t="s" s="0">
        <v>58</v>
      </c>
      <c r="O143" t="s" s="0">
        <v>90</v>
      </c>
      <c r="P143" t="s" s="0">
        <v>28</v>
      </c>
      <c r="Q143" t="n" s="0">
        <v>29.0</v>
      </c>
      <c r="R143" t="s" s="0">
        <v>104</v>
      </c>
    </row>
    <row r="144">
      <c r="A144" t="n" s="3">
        <v>45940.67015046296</v>
      </c>
      <c r="B144" t="s" s="0">
        <v>100</v>
      </c>
      <c r="C144" t="s" s="0">
        <v>37</v>
      </c>
      <c r="D144" t="s" s="0">
        <v>101</v>
      </c>
      <c r="E144" t="s" s="0">
        <v>21</v>
      </c>
      <c r="F144" t="s" s="0">
        <v>52</v>
      </c>
      <c r="G144" t="s" s="0">
        <v>32</v>
      </c>
      <c r="H144" t="n" s="0">
        <v>998469.0</v>
      </c>
      <c r="I144" s="0">
        <f>1/COUNTIFS($H$5:$H$308,H144,$J$5:$J$308,1)</f>
      </c>
      <c r="J144" s="0">
        <f>IF(SUBTOTAL(103,H144) = 1, 1, 0)</f>
      </c>
      <c r="K144" t="n" s="0">
        <v>2025.0</v>
      </c>
      <c r="L144" t="s" s="0">
        <v>24</v>
      </c>
      <c r="M144" t="s" s="0">
        <v>102</v>
      </c>
      <c r="N144" t="s" s="0">
        <v>55</v>
      </c>
      <c r="O144" t="s" s="0">
        <v>103</v>
      </c>
      <c r="P144" t="s" s="0">
        <v>36</v>
      </c>
      <c r="Q144" t="n" s="0">
        <v>20.0</v>
      </c>
      <c r="R144" t="s" s="0">
        <v>29</v>
      </c>
    </row>
    <row r="145">
      <c r="A145" t="n" s="3">
        <v>45940.67439814815</v>
      </c>
      <c r="B145" t="s" s="0">
        <v>100</v>
      </c>
      <c r="C145" t="s" s="0">
        <v>37</v>
      </c>
      <c r="D145" t="s" s="0">
        <v>101</v>
      </c>
      <c r="E145" t="s" s="0">
        <v>21</v>
      </c>
      <c r="F145" t="s" s="0">
        <v>38</v>
      </c>
      <c r="G145" t="s" s="0">
        <v>32</v>
      </c>
      <c r="H145" t="n" s="0">
        <v>1001938.0</v>
      </c>
      <c r="I145" s="0">
        <f>1/COUNTIFS($H$5:$H$308,H145,$J$5:$J$308,1)</f>
      </c>
      <c r="J145" s="0">
        <f>IF(SUBTOTAL(103,H145) = 1, 1, 0)</f>
      </c>
      <c r="K145" t="n" s="0">
        <v>2025.0</v>
      </c>
      <c r="L145" t="s" s="0">
        <v>24</v>
      </c>
      <c r="M145" t="s" s="0">
        <v>102</v>
      </c>
      <c r="N145" t="s" s="0">
        <v>95</v>
      </c>
      <c r="O145" t="s" s="0">
        <v>90</v>
      </c>
      <c r="P145" t="s" s="0">
        <v>36</v>
      </c>
      <c r="Q145" t="n" s="0">
        <v>21.0</v>
      </c>
      <c r="R145" t="s" s="0">
        <v>29</v>
      </c>
    </row>
    <row r="146">
      <c r="A146" t="n" s="3">
        <v>45940.681550925925</v>
      </c>
      <c r="B146" t="s" s="0">
        <v>100</v>
      </c>
      <c r="C146" t="s" s="0">
        <v>37</v>
      </c>
      <c r="D146" t="s" s="0">
        <v>101</v>
      </c>
      <c r="E146" t="s" s="0">
        <v>21</v>
      </c>
      <c r="F146" t="s" s="0">
        <v>52</v>
      </c>
      <c r="G146" t="s" s="0">
        <v>32</v>
      </c>
      <c r="H146" t="n" s="0">
        <v>1031059.0</v>
      </c>
      <c r="I146" s="0">
        <f>1/COUNTIFS($H$5:$H$308,H146,$J$5:$J$308,1)</f>
      </c>
      <c r="J146" s="0">
        <f>IF(SUBTOTAL(103,H146) = 1, 1, 0)</f>
      </c>
      <c r="K146" t="n" s="0">
        <v>2025.0</v>
      </c>
      <c r="L146" t="s" s="0">
        <v>24</v>
      </c>
      <c r="M146" t="s" s="0">
        <v>102</v>
      </c>
      <c r="N146" t="s" s="0">
        <v>55</v>
      </c>
      <c r="O146" t="s" s="0">
        <v>129</v>
      </c>
      <c r="P146" t="s" s="0">
        <v>36</v>
      </c>
      <c r="Q146" t="n" s="0">
        <v>23.0</v>
      </c>
      <c r="R146" t="s" s="0">
        <v>29</v>
      </c>
    </row>
    <row r="147">
      <c r="A147" t="n" s="3">
        <v>45940.68650462963</v>
      </c>
      <c r="B147" t="s" s="0">
        <v>100</v>
      </c>
      <c r="C147" t="s" s="0">
        <v>37</v>
      </c>
      <c r="D147" t="s" s="0">
        <v>101</v>
      </c>
      <c r="E147" t="s" s="0">
        <v>21</v>
      </c>
      <c r="F147" t="s" s="0">
        <v>31</v>
      </c>
      <c r="G147" t="s" s="0">
        <v>32</v>
      </c>
      <c r="H147" t="n" s="0">
        <v>1029681.0</v>
      </c>
      <c r="I147" s="0">
        <f>1/COUNTIFS($H$5:$H$308,H147,$J$5:$J$308,1)</f>
      </c>
      <c r="J147" s="0">
        <f>IF(SUBTOTAL(103,H147) = 1, 1, 0)</f>
      </c>
      <c r="K147" t="n" s="0">
        <v>2025.0</v>
      </c>
      <c r="L147" t="s" s="0">
        <v>24</v>
      </c>
      <c r="M147" t="s" s="0">
        <v>102</v>
      </c>
      <c r="N147" t="s" s="0">
        <v>95</v>
      </c>
      <c r="O147" t="s" s="0">
        <v>81</v>
      </c>
      <c r="P147" t="s" s="0">
        <v>36</v>
      </c>
      <c r="Q147" t="n" s="0">
        <v>23.0</v>
      </c>
      <c r="R147" t="s" s="0">
        <v>29</v>
      </c>
    </row>
    <row r="148">
      <c r="A148" t="n" s="3">
        <v>45940.73133101852</v>
      </c>
      <c r="B148" t="s" s="0">
        <v>18</v>
      </c>
      <c r="C148" t="s" s="0">
        <v>19</v>
      </c>
      <c r="D148" t="s" s="0">
        <v>63</v>
      </c>
      <c r="E148" t="s" s="0">
        <v>21</v>
      </c>
      <c r="F148" t="s" s="0">
        <v>43</v>
      </c>
      <c r="G148" t="s" s="0">
        <v>32</v>
      </c>
      <c r="H148" t="n" s="0">
        <v>940365.0</v>
      </c>
      <c r="I148" s="0">
        <f>1/COUNTIFS($H$5:$H$308,H148,$J$5:$J$308,1)</f>
      </c>
      <c r="J148" s="0">
        <f>IF(SUBTOTAL(103,H148) = 1, 1, 0)</f>
      </c>
      <c r="K148" t="n" s="0">
        <v>2025.0</v>
      </c>
      <c r="L148" t="s" s="0">
        <v>24</v>
      </c>
      <c r="M148" t="s" s="0">
        <v>33</v>
      </c>
      <c r="N148" t="s" s="0">
        <v>26</v>
      </c>
      <c r="O148" t="s" s="0">
        <v>35</v>
      </c>
      <c r="P148" t="s" s="0">
        <v>28</v>
      </c>
      <c r="Q148" t="n" s="0">
        <v>19.0</v>
      </c>
      <c r="R148" t="s" s="0">
        <v>29</v>
      </c>
    </row>
    <row r="149">
      <c r="A149" t="n" s="3">
        <v>45943.44222222222</v>
      </c>
      <c r="B149" t="s" s="0">
        <v>18</v>
      </c>
      <c r="C149" t="s" s="0">
        <v>37</v>
      </c>
      <c r="D149" t="s" s="0">
        <v>75</v>
      </c>
      <c r="E149" t="s" s="0">
        <v>21</v>
      </c>
      <c r="F149" t="s" s="0">
        <v>31</v>
      </c>
      <c r="G149" t="s" s="0">
        <v>163</v>
      </c>
      <c r="H149" t="n" s="0">
        <v>928474.0</v>
      </c>
      <c r="I149" s="0">
        <f>1/COUNTIFS($H$5:$H$308,H149,$J$5:$J$308,1)</f>
      </c>
      <c r="J149" s="0">
        <f>IF(SUBTOTAL(103,H149) = 1, 1, 0)</f>
      </c>
      <c r="K149" t="n" s="0">
        <v>2025.0</v>
      </c>
      <c r="L149" t="s" s="0">
        <v>24</v>
      </c>
      <c r="M149" t="s" s="0">
        <v>97</v>
      </c>
      <c r="N149" t="s" s="0">
        <v>58</v>
      </c>
      <c r="O149" t="s" s="0">
        <v>164</v>
      </c>
      <c r="P149" t="s" s="0">
        <v>36</v>
      </c>
      <c r="Q149" t="n" s="0">
        <v>25.0</v>
      </c>
      <c r="R149" t="s" s="0">
        <v>29</v>
      </c>
    </row>
    <row r="150">
      <c r="A150" t="n" s="3">
        <v>45944.645833333336</v>
      </c>
      <c r="B150" t="s" s="0">
        <v>18</v>
      </c>
      <c r="C150" t="s" s="0">
        <v>37</v>
      </c>
      <c r="D150" t="s" s="0">
        <v>75</v>
      </c>
      <c r="E150" t="s" s="0">
        <v>21</v>
      </c>
      <c r="F150" t="s" s="0">
        <v>52</v>
      </c>
      <c r="G150" t="s" s="0">
        <v>86</v>
      </c>
      <c r="H150" t="n" s="0">
        <v>998528.0</v>
      </c>
      <c r="I150" s="0">
        <f>1/COUNTIFS($H$5:$H$308,H150,$J$5:$J$308,1)</f>
      </c>
      <c r="J150" s="0">
        <f>IF(SUBTOTAL(103,H150) = 1, 1, 0)</f>
      </c>
      <c r="K150" t="n" s="0">
        <v>2025.0</v>
      </c>
      <c r="L150" t="s" s="0">
        <v>24</v>
      </c>
      <c r="M150" t="s" s="0">
        <v>33</v>
      </c>
      <c r="N150" t="s" s="0">
        <v>55</v>
      </c>
      <c r="O150" t="s" s="0">
        <v>35</v>
      </c>
      <c r="P150" t="s" s="0">
        <v>36</v>
      </c>
      <c r="Q150" t="n" s="0">
        <v>18.0</v>
      </c>
      <c r="R150" t="s" s="0">
        <v>29</v>
      </c>
    </row>
    <row r="151">
      <c r="A151" t="n" s="3">
        <v>45947.506527777776</v>
      </c>
      <c r="B151" t="s" s="0">
        <v>18</v>
      </c>
      <c r="C151" t="s" s="0">
        <v>19</v>
      </c>
      <c r="D151" t="s" s="0">
        <v>63</v>
      </c>
      <c r="E151" t="s" s="0">
        <v>21</v>
      </c>
      <c r="F151" t="s" s="0">
        <v>65</v>
      </c>
      <c r="G151" t="s" s="0">
        <v>66</v>
      </c>
      <c r="H151" t="n" s="0">
        <v>853658.0</v>
      </c>
      <c r="I151" s="0">
        <f>1/COUNTIFS($H$5:$H$308,H151,$J$5:$J$308,1)</f>
      </c>
      <c r="J151" s="0">
        <f>IF(SUBTOTAL(103,H151) = 1, 1, 0)</f>
      </c>
      <c r="K151" t="n" s="0">
        <v>2025.0</v>
      </c>
      <c r="L151" t="s" s="0">
        <v>24</v>
      </c>
      <c r="M151" t="s" s="0">
        <v>25</v>
      </c>
      <c r="N151" t="s" s="0">
        <v>34</v>
      </c>
      <c r="O151" t="s" s="0">
        <v>138</v>
      </c>
      <c r="P151" t="s" s="0">
        <v>28</v>
      </c>
      <c r="Q151" t="n" s="0">
        <v>21.0</v>
      </c>
      <c r="R151" t="s" s="0">
        <v>29</v>
      </c>
    </row>
    <row r="152">
      <c r="A152" t="n" s="3">
        <v>45947.70712962963</v>
      </c>
      <c r="B152" t="s" s="0">
        <v>18</v>
      </c>
      <c r="C152" t="s" s="0">
        <v>37</v>
      </c>
      <c r="D152" t="s" s="0">
        <v>99</v>
      </c>
      <c r="E152" t="s" s="0">
        <v>21</v>
      </c>
      <c r="F152" t="s" s="0">
        <v>67</v>
      </c>
      <c r="G152" t="s" s="0">
        <v>32</v>
      </c>
      <c r="H152" t="n" s="0">
        <v>772016.0</v>
      </c>
      <c r="I152" s="0">
        <f>1/COUNTIFS($H$5:$H$308,H152,$J$5:$J$308,1)</f>
      </c>
      <c r="J152" s="0">
        <f>IF(SUBTOTAL(103,H152) = 1, 1, 0)</f>
      </c>
      <c r="K152" t="n" s="0">
        <v>2025.0</v>
      </c>
      <c r="L152" t="s" s="0">
        <v>24</v>
      </c>
      <c r="M152" t="s" s="0">
        <v>33</v>
      </c>
      <c r="N152" t="s" s="0">
        <v>64</v>
      </c>
      <c r="O152" t="s" s="0">
        <v>130</v>
      </c>
      <c r="P152" t="s" s="0">
        <v>36</v>
      </c>
      <c r="Q152" t="n" s="0">
        <v>21.0</v>
      </c>
      <c r="R152" t="s" s="0">
        <v>29</v>
      </c>
    </row>
    <row r="153">
      <c r="A153" t="n" s="3">
        <v>45950.52767361111</v>
      </c>
      <c r="B153" t="s" s="0">
        <v>18</v>
      </c>
      <c r="C153" t="s" s="0">
        <v>37</v>
      </c>
      <c r="D153" t="s" s="0">
        <v>99</v>
      </c>
      <c r="E153" t="s" s="0">
        <v>21</v>
      </c>
      <c r="F153" t="s" s="0">
        <v>52</v>
      </c>
      <c r="G153" t="s" s="0">
        <v>86</v>
      </c>
      <c r="H153" t="n" s="0">
        <v>1040268.0</v>
      </c>
      <c r="I153" s="0">
        <f>1/COUNTIFS($H$5:$H$308,H153,$J$5:$J$308,1)</f>
      </c>
      <c r="J153" s="0">
        <f>IF(SUBTOTAL(103,H153) = 1, 1, 0)</f>
      </c>
      <c r="K153" t="n" s="0">
        <v>2025.0</v>
      </c>
      <c r="L153" t="s" s="0">
        <v>24</v>
      </c>
      <c r="M153" t="s" s="0">
        <v>25</v>
      </c>
      <c r="N153" t="s" s="0">
        <v>55</v>
      </c>
      <c r="O153" t="s" s="0">
        <v>27</v>
      </c>
      <c r="P153" t="s" s="0">
        <v>36</v>
      </c>
      <c r="Q153" t="n" s="0">
        <v>19.0</v>
      </c>
      <c r="R153" t="s" s="0">
        <v>29</v>
      </c>
    </row>
    <row r="154">
      <c r="A154" t="n" s="3">
        <v>45950.56391203704</v>
      </c>
      <c r="B154" t="s" s="0">
        <v>100</v>
      </c>
      <c r="C154" t="s" s="0">
        <v>19</v>
      </c>
      <c r="D154" t="s" s="0">
        <v>101</v>
      </c>
      <c r="E154" t="s" s="0">
        <v>21</v>
      </c>
      <c r="F154" t="s" s="0">
        <v>65</v>
      </c>
      <c r="G154" t="s" s="0">
        <v>32</v>
      </c>
      <c r="H154" t="n" s="0">
        <v>998126.0</v>
      </c>
      <c r="I154" s="0">
        <f>1/COUNTIFS($H$5:$H$308,H154,$J$5:$J$308,1)</f>
      </c>
      <c r="J154" s="0">
        <f>IF(SUBTOTAL(103,H154) = 1, 1, 0)</f>
      </c>
      <c r="K154" t="n" s="0">
        <v>2025.0</v>
      </c>
      <c r="L154" t="s" s="0">
        <v>24</v>
      </c>
      <c r="M154" t="s" s="0">
        <v>102</v>
      </c>
      <c r="N154" t="s" s="0">
        <v>95</v>
      </c>
      <c r="O154" t="s" s="0">
        <v>90</v>
      </c>
      <c r="P154" t="s" s="0">
        <v>36</v>
      </c>
      <c r="Q154" t="n" s="0">
        <v>23.0</v>
      </c>
      <c r="R154" t="s" s="0">
        <v>29</v>
      </c>
    </row>
    <row r="155">
      <c r="A155" t="n" s="3">
        <v>45950.59894675926</v>
      </c>
      <c r="B155" t="s" s="0">
        <v>100</v>
      </c>
      <c r="C155" t="s" s="0">
        <v>37</v>
      </c>
      <c r="D155" t="s" s="0">
        <v>101</v>
      </c>
      <c r="E155" t="s" s="0">
        <v>21</v>
      </c>
      <c r="F155" t="s" s="0">
        <v>52</v>
      </c>
      <c r="G155" t="s" s="0">
        <v>60</v>
      </c>
      <c r="H155" t="n" s="0">
        <v>1000706.0</v>
      </c>
      <c r="I155" s="0">
        <f>1/COUNTIFS($H$5:$H$308,H155,$J$5:$J$308,1)</f>
      </c>
      <c r="J155" s="0">
        <f>IF(SUBTOTAL(103,H155) = 1, 1, 0)</f>
      </c>
      <c r="K155" t="n" s="0">
        <v>2025.0</v>
      </c>
      <c r="L155" t="s" s="0">
        <v>24</v>
      </c>
      <c r="M155" t="s" s="0">
        <v>102</v>
      </c>
      <c r="N155" t="s" s="0">
        <v>55</v>
      </c>
      <c r="O155" t="s" s="0">
        <v>127</v>
      </c>
      <c r="P155" t="s" s="0">
        <v>36</v>
      </c>
      <c r="Q155" t="n" s="0">
        <v>23.0</v>
      </c>
      <c r="R155" t="s" s="0">
        <v>29</v>
      </c>
    </row>
    <row r="156">
      <c r="A156" t="n" s="3">
        <v>45950.62059027778</v>
      </c>
      <c r="B156" t="s" s="0">
        <v>18</v>
      </c>
      <c r="C156" t="s" s="0">
        <v>37</v>
      </c>
      <c r="D156" t="s" s="0">
        <v>99</v>
      </c>
      <c r="E156" t="s" s="0">
        <v>21</v>
      </c>
      <c r="F156" t="s" s="0">
        <v>38</v>
      </c>
      <c r="G156" t="s" s="0">
        <v>32</v>
      </c>
      <c r="H156" t="n" s="0">
        <v>776219.0</v>
      </c>
      <c r="I156" s="0">
        <f>1/COUNTIFS($H$5:$H$308,H156,$J$5:$J$308,1)</f>
      </c>
      <c r="J156" s="0">
        <f>IF(SUBTOTAL(103,H156) = 1, 1, 0)</f>
      </c>
      <c r="K156" t="n" s="0">
        <v>2025.0</v>
      </c>
      <c r="L156" t="s" s="0">
        <v>24</v>
      </c>
      <c r="M156" t="s" s="0">
        <v>97</v>
      </c>
      <c r="N156" t="s" s="0">
        <v>70</v>
      </c>
      <c r="O156" t="s" s="0">
        <v>165</v>
      </c>
      <c r="P156" t="s" s="0">
        <v>36</v>
      </c>
      <c r="Q156" t="n" s="0">
        <v>21.0</v>
      </c>
      <c r="R156" t="s" s="0">
        <v>29</v>
      </c>
    </row>
    <row r="157">
      <c r="A157" t="n" s="3">
        <v>45950.67680555556</v>
      </c>
      <c r="B157" t="s" s="0">
        <v>100</v>
      </c>
      <c r="C157" t="s" s="0">
        <v>37</v>
      </c>
      <c r="D157" t="s" s="0">
        <v>101</v>
      </c>
      <c r="E157" t="s" s="0">
        <v>21</v>
      </c>
      <c r="F157" t="s" s="0">
        <v>52</v>
      </c>
      <c r="G157" t="s" s="0">
        <v>32</v>
      </c>
      <c r="H157" t="n" s="0">
        <v>1011924.0</v>
      </c>
      <c r="I157" s="0">
        <f>1/COUNTIFS($H$5:$H$308,H157,$J$5:$J$308,1)</f>
      </c>
      <c r="J157" s="0">
        <f>IF(SUBTOTAL(103,H157) = 1, 1, 0)</f>
      </c>
      <c r="K157" t="n" s="0">
        <v>2025.0</v>
      </c>
      <c r="L157" t="s" s="0">
        <v>24</v>
      </c>
      <c r="M157" t="s" s="0">
        <v>102</v>
      </c>
      <c r="N157" t="s" s="0">
        <v>95</v>
      </c>
      <c r="O157" t="s" s="0">
        <v>81</v>
      </c>
      <c r="P157" t="s" s="0">
        <v>36</v>
      </c>
      <c r="Q157" t="n" s="0">
        <v>23.0</v>
      </c>
      <c r="R157" t="s" s="0">
        <v>29</v>
      </c>
    </row>
    <row r="158">
      <c r="A158" t="n" s="3">
        <v>45950.68219907407</v>
      </c>
      <c r="B158" t="s" s="0">
        <v>100</v>
      </c>
      <c r="C158" t="s" s="0">
        <v>37</v>
      </c>
      <c r="D158" t="s" s="0">
        <v>101</v>
      </c>
      <c r="E158" t="s" s="0">
        <v>21</v>
      </c>
      <c r="F158" t="s" s="0">
        <v>52</v>
      </c>
      <c r="G158" t="s" s="0">
        <v>32</v>
      </c>
      <c r="H158" t="n" s="0">
        <v>932350.0</v>
      </c>
      <c r="I158" s="0">
        <f>1/COUNTIFS($H$5:$H$308,H158,$J$5:$J$308,1)</f>
      </c>
      <c r="J158" s="0">
        <f>IF(SUBTOTAL(103,H158) = 1, 1, 0)</f>
      </c>
      <c r="K158" t="n" s="0">
        <v>2025.0</v>
      </c>
      <c r="L158" t="s" s="0">
        <v>24</v>
      </c>
      <c r="M158" t="s" s="0">
        <v>102</v>
      </c>
      <c r="N158" t="s" s="0">
        <v>26</v>
      </c>
      <c r="O158" t="s" s="0">
        <v>166</v>
      </c>
      <c r="P158" t="s" s="0">
        <v>36</v>
      </c>
      <c r="Q158" t="n" s="0">
        <v>21.0</v>
      </c>
      <c r="R158" t="s" s="0">
        <v>29</v>
      </c>
    </row>
    <row r="159">
      <c r="A159" t="n" s="3">
        <v>45950.68655092592</v>
      </c>
      <c r="B159" t="s" s="0">
        <v>100</v>
      </c>
      <c r="C159" t="s" s="0">
        <v>37</v>
      </c>
      <c r="D159" t="s" s="0">
        <v>101</v>
      </c>
      <c r="E159" t="s" s="0">
        <v>21</v>
      </c>
      <c r="F159" t="s" s="0">
        <v>52</v>
      </c>
      <c r="G159" t="s" s="0">
        <v>32</v>
      </c>
      <c r="H159" t="n" s="0">
        <v>946997.0</v>
      </c>
      <c r="I159" s="0">
        <f>1/COUNTIFS($H$5:$H$308,H159,$J$5:$J$308,1)</f>
      </c>
      <c r="J159" s="0">
        <f>IF(SUBTOTAL(103,H159) = 1, 1, 0)</f>
      </c>
      <c r="K159" t="n" s="0">
        <v>2025.0</v>
      </c>
      <c r="L159" t="s" s="0">
        <v>24</v>
      </c>
      <c r="M159" t="s" s="0">
        <v>102</v>
      </c>
      <c r="N159" t="s" s="0">
        <v>58</v>
      </c>
      <c r="O159" t="s" s="0">
        <v>90</v>
      </c>
      <c r="P159" t="s" s="0">
        <v>28</v>
      </c>
      <c r="Q159" t="n" s="0">
        <v>29.0</v>
      </c>
      <c r="R159" t="s" s="0">
        <v>104</v>
      </c>
    </row>
    <row r="160">
      <c r="A160" t="n" s="3">
        <v>45952.416666666664</v>
      </c>
      <c r="B160" t="s" s="0">
        <v>113</v>
      </c>
      <c r="C160" t="s" s="0">
        <v>37</v>
      </c>
      <c r="D160" t="s" s="0">
        <v>75</v>
      </c>
      <c r="E160" t="s" s="0">
        <v>21</v>
      </c>
      <c r="F160" t="s" s="0">
        <v>52</v>
      </c>
      <c r="G160" t="s" s="0">
        <v>32</v>
      </c>
      <c r="H160" t="n" s="0">
        <v>959432.0</v>
      </c>
      <c r="I160" s="0">
        <f>1/COUNTIFS($H$5:$H$308,H160,$J$5:$J$308,1)</f>
      </c>
      <c r="J160" s="0">
        <f>IF(SUBTOTAL(103,H160) = 1, 1, 0)</f>
      </c>
      <c r="K160" t="n" s="0">
        <v>2025.0</v>
      </c>
      <c r="L160" t="s" s="0">
        <v>24</v>
      </c>
      <c r="M160" t="s" s="0">
        <v>131</v>
      </c>
      <c r="N160" t="s" s="0">
        <v>34</v>
      </c>
      <c r="O160" t="s" s="0">
        <v>61</v>
      </c>
      <c r="P160" t="s" s="0">
        <v>28</v>
      </c>
      <c r="Q160" t="n" s="0">
        <v>20.0</v>
      </c>
      <c r="R160" t="s" s="0">
        <v>29</v>
      </c>
    </row>
    <row r="161">
      <c r="A161" t="n" s="3">
        <v>45940.53125</v>
      </c>
      <c r="B161" t="s" s="0">
        <v>113</v>
      </c>
      <c r="C161" t="s" s="0">
        <v>37</v>
      </c>
      <c r="D161" t="s" s="0">
        <v>75</v>
      </c>
      <c r="E161" t="s" s="0">
        <v>21</v>
      </c>
      <c r="F161" t="s" s="0">
        <v>31</v>
      </c>
      <c r="G161" t="s" s="0">
        <v>32</v>
      </c>
      <c r="H161" t="n" s="0">
        <v>932103.0</v>
      </c>
      <c r="I161" s="0">
        <f>1/COUNTIFS($H$5:$H$308,H161,$J$5:$J$308,1)</f>
      </c>
      <c r="J161" s="0">
        <f>IF(SUBTOTAL(103,H161) = 1, 1, 0)</f>
      </c>
      <c r="K161" t="n" s="0">
        <v>2025.0</v>
      </c>
      <c r="L161" t="s" s="0">
        <v>24</v>
      </c>
      <c r="M161" t="s" s="0">
        <v>131</v>
      </c>
      <c r="N161" t="s" s="0">
        <v>26</v>
      </c>
      <c r="O161" t="s" s="0">
        <v>61</v>
      </c>
      <c r="P161" t="s" s="0">
        <v>36</v>
      </c>
      <c r="Q161" t="n" s="0">
        <v>20.0</v>
      </c>
      <c r="R161" t="s" s="0">
        <v>45</v>
      </c>
    </row>
    <row r="162">
      <c r="A162" t="n" s="3">
        <v>45952.646886574075</v>
      </c>
      <c r="B162" t="s" s="0">
        <v>18</v>
      </c>
      <c r="C162" t="s" s="0">
        <v>37</v>
      </c>
      <c r="D162" t="s" s="0">
        <v>99</v>
      </c>
      <c r="E162" t="s" s="0">
        <v>21</v>
      </c>
      <c r="F162" t="s" s="0">
        <v>52</v>
      </c>
      <c r="G162" t="s" s="0">
        <v>32</v>
      </c>
      <c r="H162" t="n" s="0">
        <v>1004217.0</v>
      </c>
      <c r="I162" s="0">
        <f>1/COUNTIFS($H$5:$H$308,H162,$J$5:$J$308,1)</f>
      </c>
      <c r="J162" s="0">
        <f>IF(SUBTOTAL(103,H162) = 1, 1, 0)</f>
      </c>
      <c r="K162" t="n" s="0">
        <v>2025.0</v>
      </c>
      <c r="L162" t="s" s="0">
        <v>24</v>
      </c>
      <c r="M162" t="s" s="0">
        <v>123</v>
      </c>
      <c r="N162" t="s" s="0">
        <v>55</v>
      </c>
      <c r="O162" t="s" s="0">
        <v>124</v>
      </c>
      <c r="P162" t="s" s="0">
        <v>36</v>
      </c>
      <c r="Q162" t="n" s="0">
        <v>18.0</v>
      </c>
      <c r="R162" t="s" s="0">
        <v>29</v>
      </c>
    </row>
    <row r="163">
      <c r="A163" t="n" s="3">
        <v>45953.460543981484</v>
      </c>
      <c r="B163" t="s" s="0">
        <v>18</v>
      </c>
      <c r="C163" t="s" s="0">
        <v>19</v>
      </c>
      <c r="D163" t="s" s="0">
        <v>167</v>
      </c>
      <c r="E163" t="s" s="0">
        <v>21</v>
      </c>
      <c r="F163" t="s" s="0">
        <v>52</v>
      </c>
      <c r="G163" t="s" s="0">
        <v>126</v>
      </c>
      <c r="H163" t="n" s="0">
        <v>1011596.0</v>
      </c>
      <c r="I163" s="0">
        <f>1/COUNTIFS($H$5:$H$308,H163,$J$5:$J$308,1)</f>
      </c>
      <c r="J163" s="0">
        <f>IF(SUBTOTAL(103,H163) = 1, 1, 0)</f>
      </c>
      <c r="K163" t="n" s="0">
        <v>2025.0</v>
      </c>
      <c r="L163" t="s" s="0">
        <v>24</v>
      </c>
      <c r="M163" t="s" s="0">
        <v>123</v>
      </c>
      <c r="N163" t="s" s="0">
        <v>55</v>
      </c>
      <c r="O163" t="s" s="0">
        <v>124</v>
      </c>
      <c r="P163" t="s" s="0">
        <v>36</v>
      </c>
      <c r="Q163" t="n" s="0">
        <v>18.0</v>
      </c>
      <c r="R163" t="s" s="0">
        <v>29</v>
      </c>
    </row>
    <row r="164">
      <c r="A164" t="n" s="3">
        <v>45954.51908564815</v>
      </c>
      <c r="B164" t="s" s="0">
        <v>18</v>
      </c>
      <c r="C164" t="s" s="0">
        <v>37</v>
      </c>
      <c r="D164" t="s" s="0">
        <v>99</v>
      </c>
      <c r="E164" t="s" s="0">
        <v>21</v>
      </c>
      <c r="F164" t="s" s="0">
        <v>22</v>
      </c>
      <c r="G164" t="s" s="0">
        <v>32</v>
      </c>
      <c r="H164" t="n" s="0">
        <v>820336.0</v>
      </c>
      <c r="I164" s="0">
        <f>1/COUNTIFS($H$5:$H$308,H164,$J$5:$J$308,1)</f>
      </c>
      <c r="J164" s="0">
        <f>IF(SUBTOTAL(103,H164) = 1, 1, 0)</f>
      </c>
      <c r="K164" t="n" s="0">
        <v>2021.0</v>
      </c>
      <c r="L164" t="s" s="0">
        <v>168</v>
      </c>
      <c r="M164" t="s" s="0">
        <v>168</v>
      </c>
      <c r="N164" t="s" s="0">
        <v>55</v>
      </c>
      <c r="O164" t="s" s="0">
        <v>19</v>
      </c>
      <c r="P164" t="s" s="0">
        <v>36</v>
      </c>
      <c r="Q164" t="n" s="0">
        <v>22.0</v>
      </c>
      <c r="R164" t="s" s="0">
        <v>29</v>
      </c>
    </row>
    <row r="165">
      <c r="A165" t="n" s="3">
        <v>45954.568194444444</v>
      </c>
      <c r="B165" t="s" s="0">
        <v>100</v>
      </c>
      <c r="C165" t="s" s="0">
        <v>37</v>
      </c>
      <c r="D165" t="s" s="0">
        <v>101</v>
      </c>
      <c r="E165" t="s" s="0">
        <v>21</v>
      </c>
      <c r="F165" t="s" s="0">
        <v>65</v>
      </c>
      <c r="G165" t="s" s="0">
        <v>32</v>
      </c>
      <c r="H165" t="n" s="0">
        <v>998469.0</v>
      </c>
      <c r="I165" s="0">
        <f>1/COUNTIFS($H$5:$H$308,H165,$J$5:$J$308,1)</f>
      </c>
      <c r="J165" s="0">
        <f>IF(SUBTOTAL(103,H165) = 1, 1, 0)</f>
      </c>
      <c r="K165" t="n" s="0">
        <v>2025.0</v>
      </c>
      <c r="L165" t="s" s="0">
        <v>24</v>
      </c>
      <c r="M165" t="s" s="0">
        <v>102</v>
      </c>
      <c r="N165" t="s" s="0">
        <v>55</v>
      </c>
      <c r="O165" t="s" s="0">
        <v>103</v>
      </c>
      <c r="P165" t="s" s="0">
        <v>36</v>
      </c>
      <c r="Q165" t="n" s="0">
        <v>20.0</v>
      </c>
      <c r="R165" t="s" s="0">
        <v>29</v>
      </c>
    </row>
    <row r="166">
      <c r="A166" t="n" s="3">
        <v>45954.572858796295</v>
      </c>
      <c r="B166" t="s" s="0">
        <v>100</v>
      </c>
      <c r="C166" t="s" s="0">
        <v>37</v>
      </c>
      <c r="D166" t="s" s="0">
        <v>101</v>
      </c>
      <c r="E166" t="s" s="0">
        <v>21</v>
      </c>
      <c r="F166" t="s" s="0">
        <v>31</v>
      </c>
      <c r="G166" t="s" s="0">
        <v>32</v>
      </c>
      <c r="H166" t="n" s="0">
        <v>1029681.0</v>
      </c>
      <c r="I166" s="0">
        <f>1/COUNTIFS($H$5:$H$308,H166,$J$5:$J$308,1)</f>
      </c>
      <c r="J166" s="0">
        <f>IF(SUBTOTAL(103,H166) = 1, 1, 0)</f>
      </c>
      <c r="K166" t="n" s="0">
        <v>2025.0</v>
      </c>
      <c r="L166" t="s" s="0">
        <v>24</v>
      </c>
      <c r="M166" t="s" s="0">
        <v>102</v>
      </c>
      <c r="N166" t="s" s="0">
        <v>95</v>
      </c>
      <c r="O166" t="s" s="0">
        <v>81</v>
      </c>
      <c r="P166" t="s" s="0">
        <v>36</v>
      </c>
      <c r="Q166" t="n" s="0">
        <v>23.0</v>
      </c>
      <c r="R166" t="s" s="0">
        <v>29</v>
      </c>
    </row>
    <row r="167">
      <c r="A167" t="n" s="3">
        <v>45957.494409722225</v>
      </c>
      <c r="B167" t="s" s="0">
        <v>100</v>
      </c>
      <c r="C167" t="s" s="0">
        <v>19</v>
      </c>
      <c r="D167" t="s" s="0">
        <v>101</v>
      </c>
      <c r="E167" t="s" s="0">
        <v>21</v>
      </c>
      <c r="F167" t="s" s="0">
        <v>52</v>
      </c>
      <c r="G167" t="s" s="0">
        <v>32</v>
      </c>
      <c r="H167" t="n" s="0">
        <v>1001938.0</v>
      </c>
      <c r="I167" s="0">
        <f>1/COUNTIFS($H$5:$H$308,H167,$J$5:$J$308,1)</f>
      </c>
      <c r="J167" s="0">
        <f>IF(SUBTOTAL(103,H167) = 1, 1, 0)</f>
      </c>
      <c r="K167" t="n" s="0">
        <v>2025.0</v>
      </c>
      <c r="L167" t="s" s="0">
        <v>24</v>
      </c>
      <c r="M167" t="s" s="0">
        <v>102</v>
      </c>
      <c r="N167" t="s" s="0">
        <v>95</v>
      </c>
      <c r="O167" t="s" s="0">
        <v>90</v>
      </c>
      <c r="P167" t="s" s="0">
        <v>36</v>
      </c>
      <c r="Q167" t="n" s="0">
        <v>21.0</v>
      </c>
      <c r="R167" t="s" s="0">
        <v>29</v>
      </c>
    </row>
    <row r="168">
      <c r="A168" t="n" s="3">
        <v>45957.67159722222</v>
      </c>
      <c r="B168" t="s" s="0">
        <v>18</v>
      </c>
      <c r="C168" t="s" s="0">
        <v>37</v>
      </c>
      <c r="D168" t="s" s="0">
        <v>99</v>
      </c>
      <c r="E168" t="s" s="0">
        <v>21</v>
      </c>
      <c r="F168" t="s" s="0">
        <v>67</v>
      </c>
      <c r="G168" t="s" s="0">
        <v>122</v>
      </c>
      <c r="H168" t="n" s="0">
        <v>772597.0</v>
      </c>
      <c r="I168" s="0">
        <f>1/COUNTIFS($H$5:$H$308,H168,$J$5:$J$308,1)</f>
      </c>
      <c r="J168" s="0">
        <f>IF(SUBTOTAL(103,H168) = 1, 1, 0)</f>
      </c>
      <c r="K168" t="n" s="0">
        <v>2025.0</v>
      </c>
      <c r="L168" t="s" s="0">
        <v>24</v>
      </c>
      <c r="M168" t="s" s="0">
        <v>33</v>
      </c>
      <c r="N168" t="s" s="0">
        <v>95</v>
      </c>
      <c r="O168" t="s" s="0">
        <v>152</v>
      </c>
      <c r="P168" t="s" s="0">
        <v>36</v>
      </c>
      <c r="Q168" t="n" s="0">
        <v>21.0</v>
      </c>
      <c r="R168" t="s" s="0">
        <v>29</v>
      </c>
    </row>
    <row r="169">
      <c r="A169" t="n" s="3">
        <v>45958.685219907406</v>
      </c>
      <c r="B169" t="s" s="0">
        <v>18</v>
      </c>
      <c r="C169" t="s" s="0">
        <v>37</v>
      </c>
      <c r="D169" t="s" s="0">
        <v>75</v>
      </c>
      <c r="E169" t="s" s="0">
        <v>21</v>
      </c>
      <c r="F169" t="s" s="0">
        <v>31</v>
      </c>
      <c r="G169" t="s" s="0">
        <v>32</v>
      </c>
      <c r="H169" t="n" s="0">
        <v>863279.0</v>
      </c>
      <c r="I169" s="0">
        <f>1/COUNTIFS($H$5:$H$308,H169,$J$5:$J$308,1)</f>
      </c>
      <c r="J169" s="0">
        <f>IF(SUBTOTAL(103,H169) = 1, 1, 0)</f>
      </c>
      <c r="K169" t="n" s="0">
        <v>2025.0</v>
      </c>
      <c r="L169" t="s" s="0">
        <v>24</v>
      </c>
      <c r="M169" t="s" s="0">
        <v>33</v>
      </c>
      <c r="N169" t="s" s="0">
        <v>26</v>
      </c>
      <c r="O169" t="s" s="0">
        <v>35</v>
      </c>
      <c r="P169" t="s" s="0">
        <v>36</v>
      </c>
      <c r="Q169" t="n" s="0">
        <v>20.0</v>
      </c>
      <c r="R169" t="s" s="0">
        <v>29</v>
      </c>
    </row>
    <row r="170">
      <c r="A170" t="n" s="3">
        <v>45961.69751157407</v>
      </c>
      <c r="B170" t="s" s="0">
        <v>100</v>
      </c>
      <c r="C170" t="s" s="0">
        <v>19</v>
      </c>
      <c r="D170" t="s" s="0">
        <v>101</v>
      </c>
      <c r="E170" t="s" s="0">
        <v>21</v>
      </c>
      <c r="F170" t="s" s="0">
        <v>148</v>
      </c>
      <c r="G170" t="s" s="0">
        <v>32</v>
      </c>
      <c r="H170" t="n" s="0">
        <v>1014553.0</v>
      </c>
      <c r="I170" s="0">
        <f>1/COUNTIFS($H$5:$H$308,H170,$J$5:$J$308,1)</f>
      </c>
      <c r="J170" s="0">
        <f>IF(SUBTOTAL(103,H170) = 1, 1, 0)</f>
      </c>
      <c r="K170" t="n" s="0">
        <v>2025.0</v>
      </c>
      <c r="L170" t="s" s="0">
        <v>24</v>
      </c>
      <c r="M170" t="s" s="0">
        <v>97</v>
      </c>
      <c r="N170" t="s" s="0">
        <v>55</v>
      </c>
      <c r="O170" t="s" s="0">
        <v>112</v>
      </c>
      <c r="P170" t="s" s="0">
        <v>36</v>
      </c>
      <c r="Q170" t="n" s="0">
        <v>18.0</v>
      </c>
      <c r="R170" t="s" s="0">
        <v>29</v>
      </c>
    </row>
    <row r="171">
      <c r="A171" t="n" s="3">
        <v>45964.50545138889</v>
      </c>
      <c r="B171" t="s" s="0">
        <v>18</v>
      </c>
      <c r="C171" t="s" s="0">
        <v>19</v>
      </c>
      <c r="D171" t="s" s="0">
        <v>63</v>
      </c>
      <c r="E171" t="s" s="0">
        <v>21</v>
      </c>
      <c r="F171" t="s" s="0">
        <v>43</v>
      </c>
      <c r="G171" t="s" s="0">
        <v>32</v>
      </c>
      <c r="H171" t="n" s="0">
        <v>1003725.0</v>
      </c>
      <c r="I171" s="0">
        <f>1/COUNTIFS($H$5:$H$308,H171,$J$5:$J$308,1)</f>
      </c>
      <c r="J171" s="0">
        <f>IF(SUBTOTAL(103,H171) = 1, 1, 0)</f>
      </c>
      <c r="K171" t="n" s="0">
        <v>2025.0</v>
      </c>
      <c r="L171" t="s" s="0">
        <v>24</v>
      </c>
      <c r="M171" t="s" s="0">
        <v>123</v>
      </c>
      <c r="N171" t="s" s="0">
        <v>55</v>
      </c>
      <c r="O171" t="s" s="0">
        <v>169</v>
      </c>
      <c r="P171" t="s" s="0">
        <v>28</v>
      </c>
      <c r="Q171" t="n" s="0">
        <v>18.0</v>
      </c>
      <c r="R171" t="s" s="0">
        <v>29</v>
      </c>
    </row>
    <row r="172">
      <c r="A172" t="n" s="3">
        <v>45964.51887731482</v>
      </c>
      <c r="B172" t="s" s="0">
        <v>18</v>
      </c>
      <c r="C172" t="s" s="0">
        <v>37</v>
      </c>
      <c r="D172" t="s" s="0">
        <v>99</v>
      </c>
      <c r="E172" t="s" s="0">
        <v>21</v>
      </c>
      <c r="F172" t="s" s="0">
        <v>31</v>
      </c>
      <c r="G172" t="s" s="0">
        <v>32</v>
      </c>
      <c r="H172" t="n" s="0">
        <v>1006777.0</v>
      </c>
      <c r="I172" s="0">
        <f>1/COUNTIFS($H$5:$H$308,H172,$J$5:$J$308,1)</f>
      </c>
      <c r="J172" s="0">
        <f>IF(SUBTOTAL(103,H172) = 1, 1, 0)</f>
      </c>
      <c r="K172" t="n" s="0">
        <v>2025.0</v>
      </c>
      <c r="L172" t="s" s="0">
        <v>24</v>
      </c>
      <c r="M172" t="s" s="0">
        <v>57</v>
      </c>
      <c r="N172" t="s" s="0">
        <v>55</v>
      </c>
      <c r="O172" t="s" s="0">
        <v>61</v>
      </c>
      <c r="P172" t="s" s="0">
        <v>36</v>
      </c>
      <c r="Q172" t="n" s="0">
        <v>18.0</v>
      </c>
      <c r="R172" t="s" s="0">
        <v>29</v>
      </c>
    </row>
    <row r="173">
      <c r="A173" t="n" s="3">
        <v>45964.577835648146</v>
      </c>
      <c r="B173" t="s" s="0">
        <v>100</v>
      </c>
      <c r="C173" t="s" s="0">
        <v>37</v>
      </c>
      <c r="D173" t="s" s="0">
        <v>101</v>
      </c>
      <c r="E173" t="s" s="0">
        <v>21</v>
      </c>
      <c r="F173" t="s" s="0">
        <v>52</v>
      </c>
      <c r="G173" t="s" s="0">
        <v>60</v>
      </c>
      <c r="H173" t="n" s="0">
        <v>1000706.0</v>
      </c>
      <c r="I173" s="0">
        <f>1/COUNTIFS($H$5:$H$308,H173,$J$5:$J$308,1)</f>
      </c>
      <c r="J173" s="0">
        <f>IF(SUBTOTAL(103,H173) = 1, 1, 0)</f>
      </c>
      <c r="K173" t="n" s="0">
        <v>2025.0</v>
      </c>
      <c r="L173" t="s" s="0">
        <v>24</v>
      </c>
      <c r="M173" t="s" s="0">
        <v>102</v>
      </c>
      <c r="N173" t="s" s="0">
        <v>55</v>
      </c>
      <c r="O173" t="s" s="0">
        <v>127</v>
      </c>
      <c r="P173" t="s" s="0">
        <v>36</v>
      </c>
      <c r="Q173" t="n" s="0">
        <v>23.0</v>
      </c>
      <c r="R173" t="s" s="0">
        <v>29</v>
      </c>
    </row>
    <row r="174">
      <c r="A174" t="n" s="3">
        <v>45964.69033564815</v>
      </c>
      <c r="B174" t="s" s="0">
        <v>100</v>
      </c>
      <c r="C174" t="s" s="0">
        <v>37</v>
      </c>
      <c r="D174" t="s" s="0">
        <v>101</v>
      </c>
      <c r="E174" t="s" s="0">
        <v>21</v>
      </c>
      <c r="F174" t="s" s="0">
        <v>38</v>
      </c>
      <c r="G174" t="s" s="0">
        <v>32</v>
      </c>
      <c r="H174" t="n" s="0">
        <v>1021205.0</v>
      </c>
      <c r="I174" s="0">
        <f>1/COUNTIFS($H$5:$H$308,H174,$J$5:$J$308,1)</f>
      </c>
      <c r="J174" s="0">
        <f>IF(SUBTOTAL(103,H174) = 1, 1, 0)</f>
      </c>
      <c r="K174" t="n" s="0">
        <v>2025.0</v>
      </c>
      <c r="L174" t="s" s="0">
        <v>24</v>
      </c>
      <c r="M174" t="s" s="0">
        <v>102</v>
      </c>
      <c r="N174" t="s" s="0">
        <v>55</v>
      </c>
      <c r="O174" t="s" s="0">
        <v>129</v>
      </c>
      <c r="P174" t="s" s="0">
        <v>36</v>
      </c>
      <c r="Q174" t="n" s="0">
        <v>19.0</v>
      </c>
      <c r="R174" t="s" s="0">
        <v>29</v>
      </c>
    </row>
    <row r="175">
      <c r="A175" t="n" s="3">
        <v>45964.691666666666</v>
      </c>
      <c r="B175" t="s" s="0">
        <v>100</v>
      </c>
      <c r="C175" t="s" s="0">
        <v>37</v>
      </c>
      <c r="D175" t="s" s="0">
        <v>101</v>
      </c>
      <c r="E175" t="s" s="0">
        <v>21</v>
      </c>
      <c r="F175" t="s" s="0">
        <v>65</v>
      </c>
      <c r="G175" t="s" s="0">
        <v>32</v>
      </c>
      <c r="H175" t="n" s="0">
        <v>946997.0</v>
      </c>
      <c r="I175" s="0">
        <f>1/COUNTIFS($H$5:$H$308,H175,$J$5:$J$308,1)</f>
      </c>
      <c r="J175" s="0">
        <f>IF(SUBTOTAL(103,H175) = 1, 1, 0)</f>
      </c>
      <c r="K175" t="n" s="0">
        <v>2025.0</v>
      </c>
      <c r="L175" t="s" s="0">
        <v>24</v>
      </c>
      <c r="M175" t="s" s="0">
        <v>102</v>
      </c>
      <c r="N175" t="s" s="0">
        <v>58</v>
      </c>
      <c r="O175" t="s" s="0">
        <v>90</v>
      </c>
      <c r="P175" t="s" s="0">
        <v>28</v>
      </c>
      <c r="Q175" t="n" s="0">
        <v>29.0</v>
      </c>
      <c r="R175" t="s" s="0">
        <v>104</v>
      </c>
    </row>
    <row r="176">
      <c r="A176" t="n" s="3">
        <v>45966.4375</v>
      </c>
      <c r="B176" t="s" s="0">
        <v>113</v>
      </c>
      <c r="C176" t="s" s="0">
        <v>37</v>
      </c>
      <c r="D176" t="s" s="0">
        <v>75</v>
      </c>
      <c r="E176" t="s" s="0">
        <v>21</v>
      </c>
      <c r="F176" t="s" s="0">
        <v>52</v>
      </c>
      <c r="G176" t="s" s="0">
        <v>86</v>
      </c>
      <c r="H176" t="n" s="0">
        <v>949331.0</v>
      </c>
      <c r="I176" s="0">
        <f>1/COUNTIFS($H$5:$H$308,H176,$J$5:$J$308,1)</f>
      </c>
      <c r="J176" s="0">
        <f>IF(SUBTOTAL(103,H176) = 1, 1, 0)</f>
      </c>
      <c r="K176" t="n" s="0">
        <v>2025.0</v>
      </c>
      <c r="L176" t="s" s="0">
        <v>24</v>
      </c>
      <c r="M176" t="s" s="0">
        <v>97</v>
      </c>
      <c r="N176" t="s" s="0">
        <v>26</v>
      </c>
      <c r="O176" t="s" s="0">
        <v>112</v>
      </c>
      <c r="P176" t="s" s="0">
        <v>36</v>
      </c>
      <c r="Q176" t="n" s="0">
        <v>21.0</v>
      </c>
      <c r="R176" t="s" s="0">
        <v>29</v>
      </c>
    </row>
    <row r="177">
      <c r="A177" t="n" s="3">
        <v>45966.520833333336</v>
      </c>
      <c r="B177" t="s" s="0">
        <v>113</v>
      </c>
      <c r="C177" t="s" s="0">
        <v>37</v>
      </c>
      <c r="D177" t="s" s="0">
        <v>75</v>
      </c>
      <c r="E177" t="s" s="0">
        <v>21</v>
      </c>
      <c r="F177" t="s" s="0">
        <v>87</v>
      </c>
      <c r="G177" t="s" s="0">
        <v>32</v>
      </c>
      <c r="H177" t="n" s="0">
        <v>1003100.0</v>
      </c>
      <c r="I177" s="0">
        <f>1/COUNTIFS($H$5:$H$308,H177,$J$5:$J$308,1)</f>
      </c>
      <c r="J177" s="0">
        <f>IF(SUBTOTAL(103,H177) = 1, 1, 0)</f>
      </c>
      <c r="K177" t="n" s="0">
        <v>2025.0</v>
      </c>
      <c r="L177" t="s" s="0">
        <v>24</v>
      </c>
      <c r="M177" t="s" s="0">
        <v>57</v>
      </c>
      <c r="N177" t="s" s="0">
        <v>55</v>
      </c>
      <c r="O177" t="s" s="0">
        <v>61</v>
      </c>
      <c r="P177" t="s" s="0">
        <v>36</v>
      </c>
      <c r="Q177" t="n" s="0">
        <v>22.0</v>
      </c>
      <c r="R177" t="s" s="0">
        <v>29</v>
      </c>
    </row>
    <row r="178">
      <c r="A178" t="n" s="3">
        <v>45966.583333333336</v>
      </c>
      <c r="B178" t="s" s="0">
        <v>113</v>
      </c>
      <c r="C178" t="s" s="0">
        <v>37</v>
      </c>
      <c r="D178" t="s" s="0">
        <v>75</v>
      </c>
      <c r="E178" t="s" s="0">
        <v>21</v>
      </c>
      <c r="F178" t="s" s="0">
        <v>22</v>
      </c>
      <c r="G178" t="s" s="0">
        <v>32</v>
      </c>
      <c r="H178" t="n" s="0">
        <v>946208.0</v>
      </c>
      <c r="I178" s="0">
        <f>1/COUNTIFS($H$5:$H$308,H178,$J$5:$J$308,1)</f>
      </c>
      <c r="J178" s="0">
        <f>IF(SUBTOTAL(103,H178) = 1, 1, 0)</f>
      </c>
      <c r="K178" t="n" s="0">
        <v>2024.0</v>
      </c>
      <c r="L178" t="s" s="0">
        <v>24</v>
      </c>
      <c r="M178" t="s" s="0">
        <v>57</v>
      </c>
      <c r="N178" t="s" s="0">
        <v>55</v>
      </c>
      <c r="O178" t="s" s="0">
        <v>61</v>
      </c>
      <c r="P178" t="s" s="0">
        <v>36</v>
      </c>
      <c r="Q178" t="n" s="0">
        <v>30.0</v>
      </c>
      <c r="R178" t="s" s="0">
        <v>159</v>
      </c>
    </row>
    <row r="179">
      <c r="A179" t="n" s="3">
        <v>45971.46493055556</v>
      </c>
      <c r="B179" t="s" s="0">
        <v>18</v>
      </c>
      <c r="C179" t="s" s="0">
        <v>37</v>
      </c>
      <c r="D179" t="s" s="0">
        <v>99</v>
      </c>
      <c r="E179" t="s" s="0">
        <v>21</v>
      </c>
      <c r="F179" t="s" s="0">
        <v>52</v>
      </c>
      <c r="G179" t="s" s="0">
        <v>32</v>
      </c>
      <c r="H179" t="n" s="0">
        <v>844077.0</v>
      </c>
      <c r="I179" s="0">
        <f>1/COUNTIFS($H$5:$H$308,H179,$J$5:$J$308,1)</f>
      </c>
      <c r="J179" s="0">
        <f>IF(SUBTOTAL(103,H179) = 1, 1, 0)</f>
      </c>
      <c r="K179" t="n" s="0">
        <v>2025.0</v>
      </c>
      <c r="L179" t="s" s="0">
        <v>24</v>
      </c>
      <c r="M179" t="s" s="0">
        <v>57</v>
      </c>
      <c r="N179" t="s" s="0">
        <v>34</v>
      </c>
      <c r="O179" t="s" s="0">
        <v>61</v>
      </c>
      <c r="P179" t="s" s="0">
        <v>36</v>
      </c>
      <c r="Q179" t="n" s="0">
        <v>20.0</v>
      </c>
      <c r="R179" t="s" s="0">
        <v>29</v>
      </c>
    </row>
    <row r="180">
      <c r="A180" t="n" s="3">
        <v>45971.523125</v>
      </c>
      <c r="B180" t="s" s="0">
        <v>18</v>
      </c>
      <c r="C180" t="s" s="0">
        <v>37</v>
      </c>
      <c r="D180" t="s" s="0">
        <v>99</v>
      </c>
      <c r="E180" t="s" s="0">
        <v>21</v>
      </c>
      <c r="F180" t="s" s="0">
        <v>65</v>
      </c>
      <c r="G180" t="s" s="0">
        <v>32</v>
      </c>
      <c r="H180" t="n" s="0">
        <v>1003110.0</v>
      </c>
      <c r="I180" s="0">
        <f>1/COUNTIFS($H$5:$H$308,H180,$J$5:$J$308,1)</f>
      </c>
      <c r="J180" s="0">
        <f>IF(SUBTOTAL(103,H180) = 1, 1, 0)</f>
      </c>
      <c r="K180" t="n" s="0">
        <v>2025.0</v>
      </c>
      <c r="L180" t="s" s="0">
        <v>24</v>
      </c>
      <c r="M180" t="s" s="0">
        <v>80</v>
      </c>
      <c r="N180" t="s" s="0">
        <v>55</v>
      </c>
      <c r="O180" t="s" s="0">
        <v>170</v>
      </c>
      <c r="P180" t="s" s="0">
        <v>36</v>
      </c>
      <c r="Q180" t="n" s="0">
        <v>18.0</v>
      </c>
      <c r="R180" t="s" s="0">
        <v>29</v>
      </c>
    </row>
    <row r="181">
      <c r="A181" t="n" s="3">
        <v>45971.66048611111</v>
      </c>
      <c r="B181" t="s" s="0">
        <v>100</v>
      </c>
      <c r="C181" t="s" s="0">
        <v>37</v>
      </c>
      <c r="D181" t="s" s="0">
        <v>101</v>
      </c>
      <c r="E181" t="s" s="0">
        <v>21</v>
      </c>
      <c r="F181" t="s" s="0">
        <v>52</v>
      </c>
      <c r="G181" t="s" s="0">
        <v>60</v>
      </c>
      <c r="H181" t="n" s="0">
        <v>998469.0</v>
      </c>
      <c r="I181" s="0">
        <f>1/COUNTIFS($H$5:$H$308,H181,$J$5:$J$308,1)</f>
      </c>
      <c r="J181" s="0">
        <f>IF(SUBTOTAL(103,H181) = 1, 1, 0)</f>
      </c>
      <c r="K181" t="n" s="0">
        <v>2025.0</v>
      </c>
      <c r="L181" t="s" s="0">
        <v>24</v>
      </c>
      <c r="M181" t="s" s="0">
        <v>102</v>
      </c>
      <c r="N181" t="s" s="0">
        <v>55</v>
      </c>
      <c r="O181" t="s" s="0">
        <v>103</v>
      </c>
      <c r="P181" t="s" s="0">
        <v>36</v>
      </c>
      <c r="Q181" t="n" s="0">
        <v>20.0</v>
      </c>
      <c r="R181" t="s" s="0">
        <v>29</v>
      </c>
    </row>
    <row r="182">
      <c r="A182" t="n" s="3">
        <v>45971.6653125</v>
      </c>
      <c r="B182" t="s" s="0">
        <v>100</v>
      </c>
      <c r="C182" t="s" s="0">
        <v>37</v>
      </c>
      <c r="D182" t="s" s="0">
        <v>101</v>
      </c>
      <c r="E182" t="s" s="0">
        <v>21</v>
      </c>
      <c r="F182" t="s" s="0">
        <v>38</v>
      </c>
      <c r="G182" t="s" s="0">
        <v>32</v>
      </c>
      <c r="H182" t="n" s="0">
        <v>1011924.0</v>
      </c>
      <c r="I182" s="0">
        <f>1/COUNTIFS($H$5:$H$308,H182,$J$5:$J$308,1)</f>
      </c>
      <c r="J182" s="0">
        <f>IF(SUBTOTAL(103,H182) = 1, 1, 0)</f>
      </c>
      <c r="K182" t="n" s="0">
        <v>2025.0</v>
      </c>
      <c r="L182" t="s" s="0">
        <v>24</v>
      </c>
      <c r="M182" t="s" s="0">
        <v>102</v>
      </c>
      <c r="N182" t="s" s="0">
        <v>95</v>
      </c>
      <c r="O182" t="s" s="0">
        <v>81</v>
      </c>
      <c r="P182" t="s" s="0">
        <v>36</v>
      </c>
      <c r="Q182" t="n" s="0">
        <v>23.0</v>
      </c>
      <c r="R182" t="s" s="0">
        <v>29</v>
      </c>
    </row>
    <row r="183">
      <c r="A183" t="n" s="3">
        <v>45971.668344907404</v>
      </c>
      <c r="B183" t="s" s="0">
        <v>100</v>
      </c>
      <c r="C183" t="s" s="0">
        <v>37</v>
      </c>
      <c r="D183" t="s" s="0">
        <v>101</v>
      </c>
      <c r="E183" t="s" s="0">
        <v>21</v>
      </c>
      <c r="F183" t="s" s="0">
        <v>31</v>
      </c>
      <c r="G183" t="s" s="0">
        <v>73</v>
      </c>
      <c r="H183" t="n" s="0">
        <v>1001938.0</v>
      </c>
      <c r="I183" s="0">
        <f>1/COUNTIFS($H$5:$H$308,H183,$J$5:$J$308,1)</f>
      </c>
      <c r="J183" s="0">
        <f>IF(SUBTOTAL(103,H183) = 1, 1, 0)</f>
      </c>
      <c r="K183" t="n" s="0">
        <v>2025.0</v>
      </c>
      <c r="L183" t="s" s="0">
        <v>24</v>
      </c>
      <c r="M183" t="s" s="0">
        <v>102</v>
      </c>
      <c r="N183" t="s" s="0">
        <v>95</v>
      </c>
      <c r="O183" t="s" s="0">
        <v>90</v>
      </c>
      <c r="P183" t="s" s="0">
        <v>36</v>
      </c>
      <c r="Q183" t="n" s="0">
        <v>21.0</v>
      </c>
      <c r="R183" t="s" s="0">
        <v>29</v>
      </c>
    </row>
    <row r="184">
      <c r="A184" t="n" s="3">
        <v>45973.375</v>
      </c>
      <c r="B184" t="s" s="0">
        <v>113</v>
      </c>
      <c r="C184" t="s" s="0">
        <v>171</v>
      </c>
      <c r="D184" t="s" s="0">
        <v>75</v>
      </c>
      <c r="E184" t="s" s="0">
        <v>21</v>
      </c>
      <c r="F184" t="s" s="0">
        <v>65</v>
      </c>
      <c r="G184" t="s" s="0">
        <v>172</v>
      </c>
      <c r="H184" t="n" s="0">
        <v>936461.0</v>
      </c>
      <c r="I184" s="0">
        <f>1/COUNTIFS($H$5:$H$308,H184,$J$5:$J$308,1)</f>
      </c>
      <c r="J184" s="0">
        <f>IF(SUBTOTAL(103,H184) = 1, 1, 0)</f>
      </c>
      <c r="K184" t="n" s="0">
        <v>2025.0</v>
      </c>
      <c r="L184" t="s" s="0">
        <v>24</v>
      </c>
      <c r="M184" t="s" s="0">
        <v>114</v>
      </c>
      <c r="N184" t="s" s="0">
        <v>26</v>
      </c>
      <c r="O184" t="s" s="0">
        <v>115</v>
      </c>
      <c r="P184" t="s" s="0">
        <v>36</v>
      </c>
      <c r="Q184" t="n" s="0">
        <v>20.0</v>
      </c>
      <c r="R184" t="s" s="0">
        <v>29</v>
      </c>
    </row>
    <row r="185">
      <c r="A185" t="n" s="3">
        <v>45974.40592592592</v>
      </c>
      <c r="B185" t="s" s="0">
        <v>50</v>
      </c>
      <c r="C185" t="s" s="0">
        <v>51</v>
      </c>
      <c r="D185" t="s" s="0">
        <v>20</v>
      </c>
      <c r="E185" t="s" s="0">
        <v>21</v>
      </c>
      <c r="F185" t="s" s="0">
        <v>65</v>
      </c>
      <c r="G185" t="s" s="0">
        <v>119</v>
      </c>
      <c r="H185" t="n" s="0">
        <v>920570.0</v>
      </c>
      <c r="I185" s="0">
        <f>1/COUNTIFS($H$5:$H$308,H185,$J$5:$J$308,1)</f>
      </c>
      <c r="J185" s="0">
        <f>IF(SUBTOTAL(103,H185) = 1, 1, 0)</f>
      </c>
      <c r="K185" t="n" s="0">
        <v>2025.0</v>
      </c>
      <c r="L185" t="s" s="0">
        <v>24</v>
      </c>
      <c r="M185" t="s" s="0">
        <v>33</v>
      </c>
      <c r="N185" t="s" s="0">
        <v>26</v>
      </c>
      <c r="O185" t="s" s="0">
        <v>35</v>
      </c>
      <c r="P185" t="s" s="0">
        <v>36</v>
      </c>
      <c r="Q185" t="n" s="0">
        <v>20.0</v>
      </c>
      <c r="R185" t="s" s="0">
        <v>29</v>
      </c>
    </row>
    <row r="186">
      <c r="A186" t="n" s="3">
        <v>45975.522986111115</v>
      </c>
      <c r="B186" t="s" s="0">
        <v>18</v>
      </c>
      <c r="C186" t="s" s="0">
        <v>37</v>
      </c>
      <c r="D186" t="s" s="0">
        <v>99</v>
      </c>
      <c r="E186" t="s" s="0">
        <v>21</v>
      </c>
      <c r="F186" t="s" s="0">
        <v>38</v>
      </c>
      <c r="G186" t="s" s="0">
        <v>82</v>
      </c>
      <c r="H186" t="n" s="0">
        <v>914412.0</v>
      </c>
      <c r="I186" s="0">
        <f>1/COUNTIFS($H$5:$H$308,H186,$J$5:$J$308,1)</f>
      </c>
      <c r="J186" s="0">
        <f>IF(SUBTOTAL(103,H186) = 1, 1, 0)</f>
      </c>
      <c r="K186" t="n" s="0">
        <v>2025.0</v>
      </c>
      <c r="L186" t="s" s="0">
        <v>24</v>
      </c>
      <c r="M186" t="s" s="0">
        <v>25</v>
      </c>
      <c r="N186" t="s" s="0">
        <v>26</v>
      </c>
      <c r="O186" t="s" s="0">
        <v>138</v>
      </c>
      <c r="P186" t="s" s="0">
        <v>28</v>
      </c>
      <c r="Q186" t="n" s="0">
        <v>19.0</v>
      </c>
      <c r="R186" t="s" s="0">
        <v>29</v>
      </c>
    </row>
    <row r="187">
      <c r="A187" t="n" s="3">
        <v>45975.67815972222</v>
      </c>
      <c r="B187" t="s" s="0">
        <v>100</v>
      </c>
      <c r="C187" t="s" s="0">
        <v>37</v>
      </c>
      <c r="D187" t="s" s="0">
        <v>101</v>
      </c>
      <c r="E187" t="s" s="0">
        <v>21</v>
      </c>
      <c r="F187" t="s" s="0">
        <v>31</v>
      </c>
      <c r="G187" t="s" s="0">
        <v>32</v>
      </c>
      <c r="H187" t="n" s="0">
        <v>997237.0</v>
      </c>
      <c r="I187" s="0">
        <f>1/COUNTIFS($H$5:$H$308,H187,$J$5:$J$308,1)</f>
      </c>
      <c r="J187" s="0">
        <f>IF(SUBTOTAL(103,H187) = 1, 1, 0)</f>
      </c>
      <c r="K187" t="n" s="0">
        <v>2025.0</v>
      </c>
      <c r="L187" t="s" s="0">
        <v>24</v>
      </c>
      <c r="M187" t="s" s="0">
        <v>102</v>
      </c>
      <c r="N187" t="s" s="0">
        <v>95</v>
      </c>
      <c r="O187" t="s" s="0">
        <v>90</v>
      </c>
      <c r="P187" t="s" s="0">
        <v>28</v>
      </c>
      <c r="Q187" t="n" s="0">
        <v>22.0</v>
      </c>
      <c r="R187" t="s" s="0">
        <v>29</v>
      </c>
    </row>
    <row r="188">
      <c r="A188" t="n" s="3">
        <v>45978.63166666667</v>
      </c>
      <c r="B188" t="s" s="0">
        <v>100</v>
      </c>
      <c r="C188" t="s" s="0">
        <v>37</v>
      </c>
      <c r="D188" t="s" s="0">
        <v>101</v>
      </c>
      <c r="E188" t="s" s="0">
        <v>21</v>
      </c>
      <c r="F188" t="s" s="0">
        <v>65</v>
      </c>
      <c r="G188" t="s" s="0">
        <v>173</v>
      </c>
      <c r="H188" t="n" s="0">
        <v>1018099.0</v>
      </c>
      <c r="I188" s="0">
        <f>1/COUNTIFS($H$5:$H$308,H188,$J$5:$J$308,1)</f>
      </c>
      <c r="J188" s="0">
        <f>IF(SUBTOTAL(103,H188) = 1, 1, 0)</f>
      </c>
      <c r="K188" t="n" s="0">
        <v>2025.0</v>
      </c>
      <c r="L188" t="s" s="0">
        <v>24</v>
      </c>
      <c r="M188" t="s" s="0">
        <v>102</v>
      </c>
      <c r="N188" t="s" s="0">
        <v>95</v>
      </c>
      <c r="O188" t="s" s="0">
        <v>81</v>
      </c>
      <c r="P188" t="s" s="0">
        <v>36</v>
      </c>
      <c r="Q188" t="n" s="0">
        <v>21.0</v>
      </c>
      <c r="R188" t="s" s="0">
        <v>29</v>
      </c>
    </row>
    <row r="189">
      <c r="A189" t="n" s="3">
        <v>45978.650092592594</v>
      </c>
      <c r="B189" t="s" s="0">
        <v>18</v>
      </c>
      <c r="C189" t="s" s="0">
        <v>37</v>
      </c>
      <c r="D189" t="s" s="0">
        <v>75</v>
      </c>
      <c r="E189" t="s" s="0">
        <v>21</v>
      </c>
      <c r="F189" t="s" s="0">
        <v>52</v>
      </c>
      <c r="G189" t="s" s="0">
        <v>60</v>
      </c>
      <c r="H189" t="n" s="0">
        <v>935986.0</v>
      </c>
      <c r="I189" s="0">
        <f>1/COUNTIFS($H$5:$H$308,H189,$J$5:$J$308,1)</f>
      </c>
      <c r="J189" s="0">
        <f>IF(SUBTOTAL(103,H189) = 1, 1, 0)</f>
      </c>
      <c r="K189" t="n" s="0">
        <v>2025.0</v>
      </c>
      <c r="L189" t="s" s="0">
        <v>24</v>
      </c>
      <c r="M189" t="s" s="0">
        <v>33</v>
      </c>
      <c r="N189" t="s" s="0">
        <v>26</v>
      </c>
      <c r="O189" t="s" s="0">
        <v>35</v>
      </c>
      <c r="P189" t="s" s="0">
        <v>36</v>
      </c>
      <c r="Q189" t="n" s="0">
        <v>19.0</v>
      </c>
      <c r="R189" t="s" s="0">
        <v>29</v>
      </c>
    </row>
    <row r="190">
      <c r="A190" t="n" s="3">
        <v>45979.65452546296</v>
      </c>
      <c r="B190" t="s" s="0">
        <v>18</v>
      </c>
      <c r="C190" t="s" s="0">
        <v>171</v>
      </c>
      <c r="D190" t="s" s="0">
        <v>75</v>
      </c>
      <c r="E190" t="s" s="0">
        <v>21</v>
      </c>
      <c r="F190" t="s" s="0">
        <v>65</v>
      </c>
      <c r="G190" t="s" s="0">
        <v>174</v>
      </c>
      <c r="H190" t="n" s="0">
        <v>917563.0</v>
      </c>
      <c r="I190" s="0">
        <f>1/COUNTIFS($H$5:$H$308,H190,$J$5:$J$308,1)</f>
      </c>
      <c r="J190" s="0">
        <f>IF(SUBTOTAL(103,H190) = 1, 1, 0)</f>
      </c>
      <c r="K190" t="n" s="0">
        <v>2025.0</v>
      </c>
      <c r="L190" t="s" s="0">
        <v>24</v>
      </c>
      <c r="M190" t="s" s="0">
        <v>123</v>
      </c>
      <c r="N190" t="s" s="0">
        <v>26</v>
      </c>
      <c r="O190" t="s" s="0">
        <v>124</v>
      </c>
      <c r="P190" t="s" s="0">
        <v>28</v>
      </c>
      <c r="Q190" t="n" s="0">
        <v>20.0</v>
      </c>
      <c r="R190" t="s" s="0">
        <v>29</v>
      </c>
    </row>
    <row r="191">
      <c r="A191" t="n" s="3">
        <v>45980.40625</v>
      </c>
      <c r="B191" t="s" s="0">
        <v>113</v>
      </c>
      <c r="C191" t="s" s="0">
        <v>37</v>
      </c>
      <c r="D191" t="s" s="0">
        <v>75</v>
      </c>
      <c r="E191" t="s" s="0">
        <v>21</v>
      </c>
      <c r="F191" t="s" s="0">
        <v>31</v>
      </c>
      <c r="G191" t="s" s="0">
        <v>32</v>
      </c>
      <c r="H191" t="n" s="0">
        <v>1033484.0</v>
      </c>
      <c r="I191" s="0">
        <f>1/COUNTIFS($H$5:$H$308,H191,$J$5:$J$308,1)</f>
      </c>
      <c r="J191" s="0">
        <f>IF(SUBTOTAL(103,H191) = 1, 1, 0)</f>
      </c>
      <c r="K191" t="n" s="0">
        <v>2025.0</v>
      </c>
      <c r="L191" t="s" s="0">
        <v>24</v>
      </c>
      <c r="M191" t="s" s="0">
        <v>131</v>
      </c>
      <c r="N191" t="s" s="0">
        <v>55</v>
      </c>
      <c r="O191" t="s" s="0">
        <v>61</v>
      </c>
      <c r="P191" t="s" s="0">
        <v>36</v>
      </c>
      <c r="Q191" t="n" s="0">
        <v>18.0</v>
      </c>
      <c r="R191" t="s" s="0">
        <v>175</v>
      </c>
    </row>
    <row r="192">
      <c r="A192" t="n" s="3">
        <v>45980.46875</v>
      </c>
      <c r="B192" t="s" s="0">
        <v>113</v>
      </c>
      <c r="C192" t="s" s="0">
        <v>37</v>
      </c>
      <c r="D192" t="s" s="0">
        <v>75</v>
      </c>
      <c r="E192" t="s" s="0">
        <v>21</v>
      </c>
      <c r="F192" t="s" s="0">
        <v>65</v>
      </c>
      <c r="G192" t="s" s="0">
        <v>119</v>
      </c>
      <c r="H192" t="n" s="0">
        <v>1033436.0</v>
      </c>
      <c r="I192" s="0">
        <f>1/COUNTIFS($H$5:$H$308,H192,$J$5:$J$308,1)</f>
      </c>
      <c r="J192" s="0">
        <f>IF(SUBTOTAL(103,H192) = 1, 1, 0)</f>
      </c>
      <c r="K192" t="n" s="0">
        <v>2025.0</v>
      </c>
      <c r="L192" t="s" s="0">
        <v>24</v>
      </c>
      <c r="M192" t="s" s="0">
        <v>131</v>
      </c>
      <c r="N192" t="s" s="0">
        <v>55</v>
      </c>
      <c r="O192" t="s" s="0">
        <v>61</v>
      </c>
      <c r="P192" t="s" s="0">
        <v>36</v>
      </c>
      <c r="Q192" t="n" s="0">
        <v>18.0</v>
      </c>
      <c r="R192" t="s" s="0">
        <v>176</v>
      </c>
    </row>
    <row r="193">
      <c r="A193" t="n" s="3">
        <v>45980.541666666664</v>
      </c>
      <c r="B193" t="s" s="0">
        <v>113</v>
      </c>
      <c r="C193" t="s" s="0">
        <v>37</v>
      </c>
      <c r="D193" t="s" s="0">
        <v>75</v>
      </c>
      <c r="E193" t="s" s="0">
        <v>21</v>
      </c>
      <c r="F193" t="s" s="0">
        <v>52</v>
      </c>
      <c r="G193" t="s" s="0">
        <v>126</v>
      </c>
      <c r="H193" t="n" s="0">
        <v>1000788.0</v>
      </c>
      <c r="I193" s="0">
        <f>1/COUNTIFS($H$5:$H$308,H193,$J$5:$J$308,1)</f>
      </c>
      <c r="J193" s="0">
        <f>IF(SUBTOTAL(103,H193) = 1, 1, 0)</f>
      </c>
      <c r="K193" t="n" s="0">
        <v>2025.0</v>
      </c>
      <c r="L193" t="s" s="0">
        <v>24</v>
      </c>
      <c r="M193" t="s" s="0">
        <v>131</v>
      </c>
      <c r="N193" t="s" s="0">
        <v>55</v>
      </c>
      <c r="O193" t="s" s="0">
        <v>61</v>
      </c>
      <c r="P193" t="s" s="0">
        <v>28</v>
      </c>
      <c r="Q193" t="n" s="0">
        <v>19.0</v>
      </c>
      <c r="R193" t="s" s="0">
        <v>29</v>
      </c>
    </row>
    <row r="194">
      <c r="A194" t="n" s="3">
        <v>45980.62204861111</v>
      </c>
      <c r="B194" t="s" s="0">
        <v>18</v>
      </c>
      <c r="C194" t="s" s="0">
        <v>37</v>
      </c>
      <c r="D194" t="s" s="0">
        <v>99</v>
      </c>
      <c r="E194" t="s" s="0">
        <v>21</v>
      </c>
      <c r="F194" t="s" s="0">
        <v>52</v>
      </c>
      <c r="G194" t="s" s="0">
        <v>32</v>
      </c>
      <c r="H194" t="n" s="0">
        <v>873857.0</v>
      </c>
      <c r="I194" s="0">
        <f>1/COUNTIFS($H$5:$H$308,H194,$J$5:$J$308,1)</f>
      </c>
      <c r="J194" s="0">
        <f>IF(SUBTOTAL(103,H194) = 1, 1, 0)</f>
      </c>
      <c r="K194" t="n" s="0">
        <v>2023.0</v>
      </c>
      <c r="L194" t="s" s="0">
        <v>77</v>
      </c>
      <c r="M194" t="s" s="0">
        <v>78</v>
      </c>
      <c r="N194" t="s" s="0">
        <v>177</v>
      </c>
      <c r="O194" t="s" s="0">
        <v>19</v>
      </c>
      <c r="P194" t="s" s="0">
        <v>36</v>
      </c>
      <c r="Q194" t="n" s="0">
        <v>22.0</v>
      </c>
      <c r="R194" t="s" s="0">
        <v>29</v>
      </c>
    </row>
    <row r="195">
      <c r="A195" t="n" s="3">
        <v>45982.575740740744</v>
      </c>
      <c r="B195" t="s" s="0">
        <v>100</v>
      </c>
      <c r="C195" t="s" s="0">
        <v>37</v>
      </c>
      <c r="D195" t="s" s="0">
        <v>101</v>
      </c>
      <c r="E195" t="s" s="0">
        <v>21</v>
      </c>
      <c r="F195" t="s" s="0">
        <v>65</v>
      </c>
      <c r="G195" t="s" s="0">
        <v>172</v>
      </c>
      <c r="H195" t="n" s="0">
        <v>1020894.0</v>
      </c>
      <c r="I195" s="0">
        <f>1/COUNTIFS($H$5:$H$308,H195,$J$5:$J$308,1)</f>
      </c>
      <c r="J195" s="0">
        <f>IF(SUBTOTAL(103,H195) = 1, 1, 0)</f>
      </c>
      <c r="K195" t="n" s="0">
        <v>2025.0</v>
      </c>
      <c r="L195" t="s" s="0">
        <v>24</v>
      </c>
      <c r="M195" t="s" s="0">
        <v>102</v>
      </c>
      <c r="N195" t="s" s="0">
        <v>95</v>
      </c>
      <c r="O195" t="s" s="0">
        <v>81</v>
      </c>
      <c r="P195" t="s" s="0">
        <v>36</v>
      </c>
      <c r="Q195" t="n" s="0">
        <v>22.0</v>
      </c>
      <c r="R195" t="s" s="0">
        <v>29</v>
      </c>
    </row>
    <row r="196">
      <c r="A196" t="n" s="3">
        <v>45982.5625</v>
      </c>
      <c r="B196" t="s" s="0">
        <v>113</v>
      </c>
      <c r="C196" t="s" s="0">
        <v>37</v>
      </c>
      <c r="D196" t="s" s="0">
        <v>75</v>
      </c>
      <c r="E196" t="s" s="0">
        <v>21</v>
      </c>
      <c r="F196" t="s" s="0">
        <v>178</v>
      </c>
      <c r="G196" t="s" s="0">
        <v>32</v>
      </c>
      <c r="H196" t="n" s="0">
        <v>985621.0</v>
      </c>
      <c r="I196" s="0">
        <f>1/COUNTIFS($H$5:$H$308,H196,$J$5:$J$308,1)</f>
      </c>
      <c r="J196" s="0">
        <f>IF(SUBTOTAL(103,H196) = 1, 1, 0)</f>
      </c>
      <c r="K196" t="n" s="0">
        <v>2025.0</v>
      </c>
      <c r="L196" t="s" s="0">
        <v>24</v>
      </c>
      <c r="M196" t="s" s="0">
        <v>114</v>
      </c>
      <c r="N196" t="s" s="0">
        <v>26</v>
      </c>
      <c r="O196" t="s" s="0">
        <v>115</v>
      </c>
      <c r="P196" t="s" s="0">
        <v>36</v>
      </c>
      <c r="Q196" t="n" s="0">
        <v>23.0</v>
      </c>
      <c r="R196" t="s" s="0">
        <v>29</v>
      </c>
    </row>
    <row r="197">
      <c r="A197" t="n" s="3">
        <v>45985.60972222222</v>
      </c>
      <c r="B197" t="s" s="0">
        <v>100</v>
      </c>
      <c r="C197" t="s" s="0">
        <v>37</v>
      </c>
      <c r="D197" t="s" s="0">
        <v>101</v>
      </c>
      <c r="E197" t="s" s="0">
        <v>21</v>
      </c>
      <c r="F197" t="s" s="0">
        <v>52</v>
      </c>
      <c r="G197" t="s" s="0">
        <v>86</v>
      </c>
      <c r="H197" t="n" s="0">
        <v>766070.0</v>
      </c>
      <c r="I197" s="0">
        <f>1/COUNTIFS($H$5:$H$308,H197,$J$5:$J$308,1)</f>
      </c>
      <c r="J197" s="0">
        <f>IF(SUBTOTAL(103,H197) = 1, 1, 0)</f>
      </c>
      <c r="K197" t="n" s="0">
        <v>2025.0</v>
      </c>
      <c r="L197" t="s" s="0">
        <v>24</v>
      </c>
      <c r="M197" t="s" s="0">
        <v>102</v>
      </c>
      <c r="N197" t="s" s="0">
        <v>64</v>
      </c>
      <c r="O197" t="s" s="0">
        <v>129</v>
      </c>
      <c r="P197" t="s" s="0">
        <v>36</v>
      </c>
      <c r="Q197" t="n" s="0">
        <v>21.0</v>
      </c>
      <c r="R197" t="s" s="0">
        <v>29</v>
      </c>
    </row>
    <row r="198">
      <c r="A198" t="n" s="3">
        <v>45985.67828703704</v>
      </c>
      <c r="B198" t="s" s="0">
        <v>18</v>
      </c>
      <c r="C198" t="s" s="0">
        <v>37</v>
      </c>
      <c r="D198" t="s" s="0">
        <v>75</v>
      </c>
      <c r="E198" t="s" s="0">
        <v>21</v>
      </c>
      <c r="F198" t="s" s="0">
        <v>65</v>
      </c>
      <c r="G198" t="s" s="0">
        <v>179</v>
      </c>
      <c r="H198" t="n" s="0">
        <v>1058754.0</v>
      </c>
      <c r="I198" s="0">
        <f>1/COUNTIFS($H$5:$H$308,H198,$J$5:$J$308,1)</f>
      </c>
      <c r="J198" s="0">
        <f>IF(SUBTOTAL(103,H198) = 1, 1, 0)</f>
      </c>
      <c r="K198" t="n" s="0">
        <v>2025.0</v>
      </c>
      <c r="L198" t="s" s="0">
        <v>180</v>
      </c>
      <c r="M198" t="s" s="0">
        <v>180</v>
      </c>
      <c r="N198" t="s" s="0">
        <v>181</v>
      </c>
      <c r="O198" t="s" s="0">
        <v>182</v>
      </c>
      <c r="P198" t="s" s="0">
        <v>36</v>
      </c>
      <c r="Q198" t="n" s="0">
        <v>22.0</v>
      </c>
      <c r="R198" t="s" s="0">
        <v>183</v>
      </c>
    </row>
    <row r="199">
      <c r="A199" t="n" s="3">
        <v>45986.657175925924</v>
      </c>
      <c r="B199" t="s" s="0">
        <v>18</v>
      </c>
      <c r="C199" t="s" s="0">
        <v>37</v>
      </c>
      <c r="D199" t="s" s="0">
        <v>75</v>
      </c>
      <c r="E199" t="s" s="0">
        <v>21</v>
      </c>
      <c r="F199" t="s" s="0">
        <v>178</v>
      </c>
      <c r="G199" t="s" s="0">
        <v>32</v>
      </c>
      <c r="H199" t="n" s="0">
        <v>949998.0</v>
      </c>
      <c r="I199" s="0">
        <f>1/COUNTIFS($H$5:$H$308,H199,$J$5:$J$308,1)</f>
      </c>
      <c r="J199" s="0">
        <f>IF(SUBTOTAL(103,H199) = 1, 1, 0)</f>
      </c>
      <c r="K199" t="n" s="0">
        <v>2025.0</v>
      </c>
      <c r="L199" t="s" s="0">
        <v>24</v>
      </c>
      <c r="M199" t="s" s="0">
        <v>80</v>
      </c>
      <c r="N199" t="s" s="0">
        <v>58</v>
      </c>
      <c r="O199" t="s" s="0">
        <v>184</v>
      </c>
      <c r="P199" t="s" s="0">
        <v>36</v>
      </c>
      <c r="Q199" t="n" s="0">
        <v>25.0</v>
      </c>
      <c r="R199" t="s" s="0">
        <v>185</v>
      </c>
    </row>
    <row r="200">
      <c r="A200" t="n" s="3">
        <v>45986.67366898148</v>
      </c>
      <c r="B200" t="s" s="0">
        <v>18</v>
      </c>
      <c r="C200" t="s" s="0">
        <v>51</v>
      </c>
      <c r="D200" t="s" s="0">
        <v>75</v>
      </c>
      <c r="E200" t="s" s="0">
        <v>21</v>
      </c>
      <c r="F200" t="s" s="0">
        <v>52</v>
      </c>
      <c r="G200" t="s" s="0">
        <v>86</v>
      </c>
      <c r="H200" t="n" s="0">
        <v>867276.0</v>
      </c>
      <c r="I200" s="0">
        <f>1/COUNTIFS($H$5:$H$308,H200,$J$5:$J$308,1)</f>
      </c>
      <c r="J200" s="0">
        <f>IF(SUBTOTAL(103,H200) = 1, 1, 0)</f>
      </c>
      <c r="K200" t="n" s="0">
        <v>2025.0</v>
      </c>
      <c r="L200" t="s" s="0">
        <v>24</v>
      </c>
      <c r="M200" t="s" s="0">
        <v>25</v>
      </c>
      <c r="N200" t="s" s="0">
        <v>34</v>
      </c>
      <c r="O200" t="s" s="0">
        <v>27</v>
      </c>
      <c r="P200" t="s" s="0">
        <v>36</v>
      </c>
      <c r="Q200" t="n" s="0">
        <v>19.0</v>
      </c>
      <c r="R200" t="s" s="0">
        <v>29</v>
      </c>
    </row>
    <row r="201">
      <c r="A201" t="n" s="3">
        <v>45987.61771990741</v>
      </c>
      <c r="B201" t="s" s="0">
        <v>18</v>
      </c>
      <c r="C201" t="s" s="0">
        <v>37</v>
      </c>
      <c r="D201" t="s" s="0">
        <v>99</v>
      </c>
      <c r="E201" t="s" s="0">
        <v>21</v>
      </c>
      <c r="F201" t="s" s="0">
        <v>43</v>
      </c>
      <c r="G201" t="s" s="0">
        <v>32</v>
      </c>
      <c r="H201" t="n" s="0">
        <v>768335.0</v>
      </c>
      <c r="I201" s="0">
        <f>1/COUNTIFS($H$5:$H$308,H201,$J$5:$J$308,1)</f>
      </c>
      <c r="J201" s="0">
        <f>IF(SUBTOTAL(103,H201) = 1, 1, 0)</f>
      </c>
      <c r="K201" t="n" s="0">
        <v>2025.0</v>
      </c>
      <c r="L201" t="s" s="0">
        <v>24</v>
      </c>
      <c r="M201" t="s" s="0">
        <v>33</v>
      </c>
      <c r="N201" t="s" s="0">
        <v>95</v>
      </c>
      <c r="O201" t="s" s="0">
        <v>186</v>
      </c>
      <c r="P201" t="s" s="0">
        <v>36</v>
      </c>
      <c r="Q201" t="n" s="0">
        <v>21.0</v>
      </c>
      <c r="R201" t="s" s="0">
        <v>29</v>
      </c>
    </row>
    <row r="202">
      <c r="A202" t="n" s="3">
        <v>45988.60996527778</v>
      </c>
      <c r="B202" t="s" s="0">
        <v>50</v>
      </c>
      <c r="C202" t="s" s="0">
        <v>51</v>
      </c>
      <c r="D202" t="s" s="0">
        <v>20</v>
      </c>
      <c r="E202" t="s" s="0">
        <v>21</v>
      </c>
      <c r="F202" t="s" s="0">
        <v>52</v>
      </c>
      <c r="G202" t="s" s="0">
        <v>126</v>
      </c>
      <c r="H202" t="n" s="0">
        <v>1019250.0</v>
      </c>
      <c r="I202" s="0">
        <f>1/COUNTIFS($H$5:$H$308,H202,$J$5:$J$308,1)</f>
      </c>
      <c r="J202" s="0">
        <f>IF(SUBTOTAL(103,H202) = 1, 1, 0)</f>
      </c>
      <c r="K202" t="n" s="0">
        <v>2025.0</v>
      </c>
      <c r="L202" t="s" s="0">
        <v>24</v>
      </c>
      <c r="M202" t="s" s="0">
        <v>160</v>
      </c>
      <c r="N202" t="s" s="0">
        <v>55</v>
      </c>
      <c r="O202" t="s" s="0">
        <v>161</v>
      </c>
      <c r="P202" t="s" s="0">
        <v>36</v>
      </c>
      <c r="Q202" t="n" s="0">
        <v>19.0</v>
      </c>
      <c r="R202" t="s" s="0">
        <v>132</v>
      </c>
    </row>
    <row r="203">
      <c r="A203" t="n" s="3">
        <v>45989.45768518518</v>
      </c>
      <c r="B203" t="s" s="0">
        <v>100</v>
      </c>
      <c r="C203" t="s" s="0">
        <v>37</v>
      </c>
      <c r="D203" t="s" s="0">
        <v>101</v>
      </c>
      <c r="E203" t="s" s="0">
        <v>21</v>
      </c>
      <c r="F203" t="s" s="0">
        <v>52</v>
      </c>
      <c r="G203" t="s" s="0">
        <v>60</v>
      </c>
      <c r="H203" t="n" s="0">
        <v>933102.0</v>
      </c>
      <c r="I203" s="0">
        <f>1/COUNTIFS($H$5:$H$308,H203,$J$5:$J$308,1)</f>
      </c>
      <c r="J203" s="0">
        <f>IF(SUBTOTAL(103,H203) = 1, 1, 0)</f>
      </c>
      <c r="K203" t="n" s="0">
        <v>2025.0</v>
      </c>
      <c r="L203" t="s" s="0">
        <v>24</v>
      </c>
      <c r="M203" t="s" s="0">
        <v>97</v>
      </c>
      <c r="N203" t="s" s="0">
        <v>26</v>
      </c>
      <c r="O203" t="s" s="0">
        <v>112</v>
      </c>
      <c r="P203" t="s" s="0">
        <v>36</v>
      </c>
      <c r="Q203" t="n" s="0">
        <v>20.0</v>
      </c>
      <c r="R203" t="s" s="0">
        <v>29</v>
      </c>
    </row>
    <row r="204">
      <c r="A204" t="n" s="3">
        <v>45989.7000462963</v>
      </c>
      <c r="B204" t="s" s="0">
        <v>100</v>
      </c>
      <c r="C204" t="s" s="0">
        <v>37</v>
      </c>
      <c r="D204" t="s" s="0">
        <v>101</v>
      </c>
      <c r="E204" t="s" s="0">
        <v>21</v>
      </c>
      <c r="F204" t="s" s="0">
        <v>38</v>
      </c>
      <c r="G204" t="s" s="0">
        <v>82</v>
      </c>
      <c r="H204" t="n" s="0">
        <v>799073.0</v>
      </c>
      <c r="I204" s="0">
        <f>1/COUNTIFS($H$5:$H$308,H204,$J$5:$J$308,1)</f>
      </c>
      <c r="J204" s="0">
        <f>IF(SUBTOTAL(103,H204) = 1, 1, 0)</f>
      </c>
      <c r="K204" t="n" s="0">
        <v>2025.0</v>
      </c>
      <c r="L204" t="s" s="0">
        <v>24</v>
      </c>
      <c r="M204" t="s" s="0">
        <v>102</v>
      </c>
      <c r="N204" t="s" s="0">
        <v>64</v>
      </c>
      <c r="O204" t="s" s="0">
        <v>127</v>
      </c>
      <c r="P204" t="s" s="0">
        <v>28</v>
      </c>
      <c r="Q204" t="n" s="0">
        <v>22.0</v>
      </c>
      <c r="R204" t="s" s="0">
        <v>29</v>
      </c>
    </row>
    <row r="205">
      <c r="A205" t="n" s="3">
        <v>45992.53034722222</v>
      </c>
      <c r="B205" t="s" s="0">
        <v>18</v>
      </c>
      <c r="C205" t="s" s="0">
        <v>37</v>
      </c>
      <c r="D205" t="s" s="0">
        <v>99</v>
      </c>
      <c r="E205" t="s" s="0">
        <v>21</v>
      </c>
      <c r="F205" t="s" s="0">
        <v>67</v>
      </c>
      <c r="G205" t="s" s="0">
        <v>122</v>
      </c>
      <c r="H205" t="n" s="0">
        <v>1039875.0</v>
      </c>
      <c r="I205" s="0">
        <f>1/COUNTIFS($H$5:$H$308,H205,$J$5:$J$308,1)</f>
      </c>
      <c r="J205" s="0">
        <f>IF(SUBTOTAL(103,H205) = 1, 1, 0)</f>
      </c>
      <c r="K205" t="n" s="0">
        <v>2025.0</v>
      </c>
      <c r="L205" t="s" s="0">
        <v>24</v>
      </c>
      <c r="M205" t="s" s="0">
        <v>123</v>
      </c>
      <c r="N205" t="s" s="0">
        <v>55</v>
      </c>
      <c r="O205" t="s" s="0">
        <v>169</v>
      </c>
      <c r="P205" t="s" s="0">
        <v>36</v>
      </c>
      <c r="Q205" t="n" s="0">
        <v>18.0</v>
      </c>
      <c r="R205" t="s" s="0">
        <v>29</v>
      </c>
    </row>
    <row r="206">
      <c r="A206" t="n" s="3">
        <v>45992.58241898148</v>
      </c>
      <c r="B206" t="s" s="0">
        <v>18</v>
      </c>
      <c r="C206" t="s" s="0">
        <v>37</v>
      </c>
      <c r="D206" t="s" s="0">
        <v>75</v>
      </c>
      <c r="E206" t="s" s="0">
        <v>21</v>
      </c>
      <c r="F206" t="s" s="0">
        <v>31</v>
      </c>
      <c r="G206" t="s" s="0">
        <v>32</v>
      </c>
      <c r="H206" t="n" s="0">
        <v>999790.0</v>
      </c>
      <c r="I206" s="0">
        <f>1/COUNTIFS($H$5:$H$308,H206,$J$5:$J$308,1)</f>
      </c>
      <c r="J206" s="0">
        <f>IF(SUBTOTAL(103,H206) = 1, 1, 0)</f>
      </c>
      <c r="K206" t="n" s="0">
        <v>2025.0</v>
      </c>
      <c r="L206" t="s" s="0">
        <v>24</v>
      </c>
      <c r="M206" t="s" s="0">
        <v>160</v>
      </c>
      <c r="N206" t="s" s="0">
        <v>55</v>
      </c>
      <c r="O206" t="s" s="0">
        <v>161</v>
      </c>
      <c r="P206" t="s" s="0">
        <v>36</v>
      </c>
      <c r="Q206" t="n" s="0">
        <v>19.0</v>
      </c>
      <c r="R206" t="s" s="0">
        <v>29</v>
      </c>
    </row>
    <row r="207">
      <c r="A207" t="n" s="3">
        <v>45992.61850694445</v>
      </c>
      <c r="B207" t="s" s="0">
        <v>18</v>
      </c>
      <c r="C207" t="s" s="0">
        <v>37</v>
      </c>
      <c r="D207" t="s" s="0">
        <v>99</v>
      </c>
      <c r="E207" t="s" s="0">
        <v>21</v>
      </c>
      <c r="F207" t="s" s="0">
        <v>67</v>
      </c>
      <c r="G207" t="s" s="0">
        <v>32</v>
      </c>
      <c r="H207" t="n" s="0">
        <v>1024797.0</v>
      </c>
      <c r="I207" s="0">
        <f>1/COUNTIFS($H$5:$H$308,H207,$J$5:$J$308,1)</f>
      </c>
      <c r="J207" s="0">
        <f>IF(SUBTOTAL(103,H207) = 1, 1, 0)</f>
      </c>
      <c r="K207" t="n" s="0">
        <v>2025.0</v>
      </c>
      <c r="L207" t="s" s="0">
        <v>24</v>
      </c>
      <c r="M207" t="s" s="0">
        <v>69</v>
      </c>
      <c r="N207" t="s" s="0">
        <v>55</v>
      </c>
      <c r="O207" t="s" s="0">
        <v>187</v>
      </c>
      <c r="P207" t="s" s="0">
        <v>36</v>
      </c>
      <c r="Q207" t="n" s="0">
        <v>19.0</v>
      </c>
      <c r="R207" t="s" s="0">
        <v>29</v>
      </c>
    </row>
    <row r="208">
      <c r="A208" t="n" s="3">
        <v>45992.69700231482</v>
      </c>
      <c r="B208" t="s" s="0">
        <v>18</v>
      </c>
      <c r="C208" t="s" s="0">
        <v>51</v>
      </c>
      <c r="D208" t="s" s="0">
        <v>75</v>
      </c>
      <c r="E208" t="s" s="0">
        <v>21</v>
      </c>
      <c r="F208" t="s" s="0">
        <v>52</v>
      </c>
      <c r="G208" t="s" s="0">
        <v>60</v>
      </c>
      <c r="H208" t="n" s="0">
        <v>1038698.0</v>
      </c>
      <c r="I208" s="0">
        <f>1/COUNTIFS($H$5:$H$308,H208,$J$5:$J$308,1)</f>
      </c>
      <c r="J208" s="0">
        <f>IF(SUBTOTAL(103,H208) = 1, 1, 0)</f>
      </c>
      <c r="K208" t="n" s="0">
        <v>2025.0</v>
      </c>
      <c r="L208" t="s" s="0">
        <v>24</v>
      </c>
      <c r="M208" t="s" s="0">
        <v>33</v>
      </c>
      <c r="N208" t="s" s="0">
        <v>55</v>
      </c>
      <c r="O208" t="s" s="0">
        <v>121</v>
      </c>
      <c r="P208" t="s" s="0">
        <v>36</v>
      </c>
      <c r="Q208" t="n" s="0">
        <v>24.0</v>
      </c>
      <c r="R208" t="s" s="0">
        <v>188</v>
      </c>
    </row>
    <row r="209">
      <c r="A209" t="n" s="3">
        <v>45993.38136574074</v>
      </c>
      <c r="B209" t="s" s="0">
        <v>18</v>
      </c>
      <c r="C209" t="s" s="0">
        <v>51</v>
      </c>
      <c r="D209" t="s" s="0">
        <v>20</v>
      </c>
      <c r="E209" t="s" s="0">
        <v>21</v>
      </c>
      <c r="F209" t="s" s="0">
        <v>22</v>
      </c>
      <c r="G209" t="s" s="0">
        <v>189</v>
      </c>
      <c r="H209" t="n" s="0">
        <v>847702.0</v>
      </c>
      <c r="I209" s="0">
        <f>1/COUNTIFS($H$5:$H$308,H209,$J$5:$J$308,1)</f>
      </c>
      <c r="J209" s="0">
        <f>IF(SUBTOTAL(103,H209) = 1, 1, 0)</f>
      </c>
      <c r="K209" t="n" s="0">
        <v>2025.0</v>
      </c>
      <c r="L209" t="s" s="0">
        <v>24</v>
      </c>
      <c r="M209" t="s" s="0">
        <v>57</v>
      </c>
      <c r="N209" t="s" s="0">
        <v>34</v>
      </c>
      <c r="O209" t="s" s="0">
        <v>61</v>
      </c>
      <c r="P209" t="s" s="0">
        <v>28</v>
      </c>
      <c r="Q209" t="n" s="0">
        <v>21.0</v>
      </c>
      <c r="R209" t="s" s="0">
        <v>29</v>
      </c>
    </row>
    <row r="210">
      <c r="A210" t="n" s="3">
        <v>45993.40872685185</v>
      </c>
      <c r="B210" t="s" s="0">
        <v>18</v>
      </c>
      <c r="C210" t="s" s="0">
        <v>51</v>
      </c>
      <c r="D210" t="s" s="0">
        <v>75</v>
      </c>
      <c r="E210" t="s" s="0">
        <v>21</v>
      </c>
      <c r="F210" t="s" s="0">
        <v>65</v>
      </c>
      <c r="G210" t="s" s="0">
        <v>79</v>
      </c>
      <c r="H210" t="n" s="0">
        <v>925082.0</v>
      </c>
      <c r="I210" s="0">
        <f>1/COUNTIFS($H$5:$H$308,H210,$J$5:$J$308,1)</f>
      </c>
      <c r="J210" s="0">
        <f>IF(SUBTOTAL(103,H210) = 1, 1, 0)</f>
      </c>
      <c r="K210" t="n" s="0">
        <v>2025.0</v>
      </c>
      <c r="L210" t="s" s="0">
        <v>24</v>
      </c>
      <c r="M210" t="s" s="0">
        <v>80</v>
      </c>
      <c r="N210" t="s" s="0">
        <v>58</v>
      </c>
      <c r="O210" t="s" s="0">
        <v>184</v>
      </c>
      <c r="P210" t="s" s="0">
        <v>36</v>
      </c>
      <c r="Q210" t="n" s="0">
        <v>27.0</v>
      </c>
      <c r="R210" t="s" s="0">
        <v>190</v>
      </c>
    </row>
    <row r="211">
      <c r="A211" t="n" s="3">
        <v>45993.438796296294</v>
      </c>
      <c r="B211" t="s" s="0">
        <v>18</v>
      </c>
      <c r="C211" t="s" s="0">
        <v>171</v>
      </c>
      <c r="D211" t="s" s="0">
        <v>75</v>
      </c>
      <c r="E211" t="s" s="0">
        <v>21</v>
      </c>
      <c r="F211" t="s" s="0">
        <v>65</v>
      </c>
      <c r="G211" t="s" s="0">
        <v>174</v>
      </c>
      <c r="H211" t="n" s="0">
        <v>917563.0</v>
      </c>
      <c r="I211" s="0">
        <f>1/COUNTIFS($H$5:$H$308,H211,$J$5:$J$308,1)</f>
      </c>
      <c r="J211" s="0">
        <f>IF(SUBTOTAL(103,H211) = 1, 1, 0)</f>
      </c>
      <c r="K211" t="n" s="0">
        <v>2025.0</v>
      </c>
      <c r="L211" t="s" s="0">
        <v>24</v>
      </c>
      <c r="M211" t="s" s="0">
        <v>123</v>
      </c>
      <c r="N211" t="s" s="0">
        <v>26</v>
      </c>
      <c r="O211" t="s" s="0">
        <v>124</v>
      </c>
      <c r="P211" t="s" s="0">
        <v>28</v>
      </c>
      <c r="Q211" t="n" s="0">
        <v>20.0</v>
      </c>
      <c r="R211" t="s" s="0">
        <v>29</v>
      </c>
    </row>
    <row r="212">
      <c r="A212" t="n" s="3">
        <v>45993.47149305556</v>
      </c>
      <c r="B212" t="s" s="0">
        <v>18</v>
      </c>
      <c r="C212" t="s" s="0">
        <v>51</v>
      </c>
      <c r="D212" t="s" s="0">
        <v>75</v>
      </c>
      <c r="E212" t="s" s="0">
        <v>21</v>
      </c>
      <c r="F212" t="s" s="0">
        <v>191</v>
      </c>
      <c r="G212" t="s" s="0">
        <v>118</v>
      </c>
      <c r="H212" t="n" s="0">
        <v>774754.0</v>
      </c>
      <c r="I212" s="0">
        <f>1/COUNTIFS($H$5:$H$308,H212,$J$5:$J$308,1)</f>
      </c>
      <c r="J212" s="0">
        <f>IF(SUBTOTAL(103,H212) = 1, 1, 0)</f>
      </c>
      <c r="K212" t="n" s="0">
        <v>2025.0</v>
      </c>
      <c r="L212" t="s" s="0">
        <v>24</v>
      </c>
      <c r="M212" t="s" s="0">
        <v>69</v>
      </c>
      <c r="N212" t="s" s="0">
        <v>58</v>
      </c>
      <c r="O212" t="s" s="0">
        <v>71</v>
      </c>
      <c r="P212" t="s" s="0">
        <v>28</v>
      </c>
      <c r="Q212" t="n" s="0">
        <v>21.0</v>
      </c>
      <c r="R212" t="s" s="0">
        <v>29</v>
      </c>
    </row>
    <row r="213">
      <c r="A213" t="n" s="3">
        <v>45993.61211805556</v>
      </c>
      <c r="B213" t="s" s="0">
        <v>18</v>
      </c>
      <c r="C213" t="s" s="0">
        <v>19</v>
      </c>
      <c r="D213" t="s" s="0">
        <v>63</v>
      </c>
      <c r="E213" t="s" s="0">
        <v>21</v>
      </c>
      <c r="F213" t="s" s="0">
        <v>65</v>
      </c>
      <c r="G213" t="s" s="0">
        <v>172</v>
      </c>
      <c r="H213" t="n" s="0">
        <v>882396.0</v>
      </c>
      <c r="I213" s="0">
        <f>1/COUNTIFS($H$5:$H$308,H213,$J$5:$J$308,1)</f>
      </c>
      <c r="J213" s="0">
        <f>IF(SUBTOTAL(103,H213) = 1, 1, 0)</f>
      </c>
      <c r="K213" t="n" s="0">
        <v>2025.0</v>
      </c>
      <c r="L213" t="s" s="0">
        <v>24</v>
      </c>
      <c r="M213" t="s" s="0">
        <v>33</v>
      </c>
      <c r="N213" t="s" s="0">
        <v>58</v>
      </c>
      <c r="O213" t="s" s="0">
        <v>192</v>
      </c>
      <c r="P213" t="s" s="0">
        <v>36</v>
      </c>
      <c r="Q213" t="n" s="0">
        <v>22.0</v>
      </c>
      <c r="R213" t="s" s="0">
        <v>29</v>
      </c>
    </row>
    <row r="214">
      <c r="A214" t="n" s="3">
        <v>45993.613854166666</v>
      </c>
      <c r="B214" t="s" s="0">
        <v>18</v>
      </c>
      <c r="C214" t="s" s="0">
        <v>19</v>
      </c>
      <c r="D214" t="s" s="0">
        <v>63</v>
      </c>
      <c r="E214" t="s" s="0">
        <v>21</v>
      </c>
      <c r="F214" t="s" s="0">
        <v>52</v>
      </c>
      <c r="G214" t="s" s="0">
        <v>86</v>
      </c>
      <c r="H214" t="n" s="0">
        <v>836078.0</v>
      </c>
      <c r="I214" s="0">
        <f>1/COUNTIFS($H$5:$H$308,H214,$J$5:$J$308,1)</f>
      </c>
      <c r="J214" s="0">
        <f>IF(SUBTOTAL(103,H214) = 1, 1, 0)</f>
      </c>
      <c r="K214" t="n" s="0">
        <v>2025.0</v>
      </c>
      <c r="L214" t="s" s="0">
        <v>24</v>
      </c>
      <c r="M214" t="s" s="0">
        <v>33</v>
      </c>
      <c r="N214" t="s" s="0">
        <v>34</v>
      </c>
      <c r="O214" t="s" s="0">
        <v>35</v>
      </c>
      <c r="P214" t="s" s="0">
        <v>36</v>
      </c>
      <c r="Q214" t="n" s="0">
        <v>20.0</v>
      </c>
      <c r="R214" t="s" s="0">
        <v>29</v>
      </c>
    </row>
    <row r="215">
      <c r="A215" t="n" s="3">
        <v>45993.61568287037</v>
      </c>
      <c r="B215" t="s" s="0">
        <v>18</v>
      </c>
      <c r="C215" t="s" s="0">
        <v>19</v>
      </c>
      <c r="D215" t="s" s="0">
        <v>63</v>
      </c>
      <c r="E215" t="s" s="0">
        <v>21</v>
      </c>
      <c r="F215" t="s" s="0">
        <v>65</v>
      </c>
      <c r="G215" t="s" s="0">
        <v>66</v>
      </c>
      <c r="H215" t="n" s="0">
        <v>1058416.0</v>
      </c>
      <c r="I215" s="0">
        <f>1/COUNTIFS($H$5:$H$308,H215,$J$5:$J$308,1)</f>
      </c>
      <c r="J215" s="0">
        <f>IF(SUBTOTAL(103,H215) = 1, 1, 0)</f>
      </c>
      <c r="K215" t="n" s="0">
        <v>2025.0</v>
      </c>
      <c r="L215" t="s" s="0">
        <v>180</v>
      </c>
      <c r="M215" t="s" s="0">
        <v>180</v>
      </c>
      <c r="N215" t="s" s="0">
        <v>181</v>
      </c>
      <c r="O215" t="s" s="0">
        <v>193</v>
      </c>
      <c r="P215" t="s" s="0">
        <v>36</v>
      </c>
      <c r="Q215" t="n" s="0">
        <v>23.0</v>
      </c>
      <c r="R215" t="s" s="0">
        <v>132</v>
      </c>
    </row>
    <row r="216">
      <c r="A216" t="n" s="3">
        <v>45993.61866898148</v>
      </c>
      <c r="B216" t="s" s="0">
        <v>18</v>
      </c>
      <c r="C216" t="s" s="0">
        <v>19</v>
      </c>
      <c r="D216" t="s" s="0">
        <v>63</v>
      </c>
      <c r="E216" t="s" s="0">
        <v>21</v>
      </c>
      <c r="F216" t="s" s="0">
        <v>22</v>
      </c>
      <c r="G216" t="s" s="0">
        <v>128</v>
      </c>
      <c r="H216" t="n" s="0">
        <v>781693.0</v>
      </c>
      <c r="I216" s="0">
        <f>1/COUNTIFS($H$5:$H$308,H216,$J$5:$J$308,1)</f>
      </c>
      <c r="J216" s="0">
        <f>IF(SUBTOTAL(103,H216) = 1, 1, 0)</f>
      </c>
      <c r="K216" t="n" s="0">
        <v>2025.0</v>
      </c>
      <c r="L216" t="s" s="0">
        <v>24</v>
      </c>
      <c r="M216" t="s" s="0">
        <v>33</v>
      </c>
      <c r="N216" t="s" s="0">
        <v>64</v>
      </c>
      <c r="O216" t="s" s="0">
        <v>35</v>
      </c>
      <c r="P216" t="s" s="0">
        <v>36</v>
      </c>
      <c r="Q216" t="n" s="0">
        <v>21.0</v>
      </c>
      <c r="R216" t="s" s="0">
        <v>29</v>
      </c>
    </row>
    <row r="217">
      <c r="A217" t="n" s="3">
        <v>45993.62133101852</v>
      </c>
      <c r="B217" t="s" s="0">
        <v>18</v>
      </c>
      <c r="C217" t="s" s="0">
        <v>19</v>
      </c>
      <c r="D217" t="s" s="0">
        <v>63</v>
      </c>
      <c r="E217" t="s" s="0">
        <v>21</v>
      </c>
      <c r="F217" t="s" s="0">
        <v>65</v>
      </c>
      <c r="G217" t="s" s="0">
        <v>66</v>
      </c>
      <c r="H217" t="n" s="0">
        <v>985966.0</v>
      </c>
      <c r="I217" s="0">
        <f>1/COUNTIFS($H$5:$H$308,H217,$J$5:$J$308,1)</f>
      </c>
      <c r="J217" s="0">
        <f>IF(SUBTOTAL(103,H217) = 1, 1, 0)</f>
      </c>
      <c r="K217" t="n" s="0">
        <v>2025.0</v>
      </c>
      <c r="L217" t="s" s="0">
        <v>24</v>
      </c>
      <c r="M217" t="s" s="0">
        <v>25</v>
      </c>
      <c r="N217" t="s" s="0">
        <v>26</v>
      </c>
      <c r="O217" t="s" s="0">
        <v>27</v>
      </c>
      <c r="P217" t="s" s="0">
        <v>36</v>
      </c>
      <c r="Q217" t="n" s="0">
        <v>19.0</v>
      </c>
      <c r="R217" t="s" s="0">
        <v>29</v>
      </c>
    </row>
    <row r="218">
      <c r="A218" t="n" s="3">
        <v>45993.62207175926</v>
      </c>
      <c r="B218" t="s" s="0">
        <v>18</v>
      </c>
      <c r="C218" t="s" s="0">
        <v>19</v>
      </c>
      <c r="D218" t="s" s="0">
        <v>63</v>
      </c>
      <c r="E218" t="s" s="0">
        <v>21</v>
      </c>
      <c r="F218" t="s" s="0">
        <v>38</v>
      </c>
      <c r="G218" t="s" s="0">
        <v>194</v>
      </c>
      <c r="H218" t="n" s="0">
        <v>691120.0</v>
      </c>
      <c r="I218" s="0">
        <f>1/COUNTIFS($H$5:$H$308,H218,$J$5:$J$308,1)</f>
      </c>
      <c r="J218" s="0">
        <f>IF(SUBTOTAL(103,H218) = 1, 1, 0)</f>
      </c>
      <c r="K218" t="n" s="0">
        <v>2025.0</v>
      </c>
      <c r="L218" t="s" s="0">
        <v>24</v>
      </c>
      <c r="M218" t="s" s="0">
        <v>97</v>
      </c>
      <c r="N218" t="s" s="0">
        <v>48</v>
      </c>
      <c r="O218" t="s" s="0">
        <v>165</v>
      </c>
      <c r="P218" t="s" s="0">
        <v>28</v>
      </c>
      <c r="Q218" t="n" s="0">
        <v>22.0</v>
      </c>
      <c r="R218" t="s" s="0">
        <v>29</v>
      </c>
    </row>
    <row r="219">
      <c r="A219" t="n" s="3">
        <v>45993.62359953704</v>
      </c>
      <c r="B219" t="s" s="0">
        <v>18</v>
      </c>
      <c r="C219" t="s" s="0">
        <v>19</v>
      </c>
      <c r="D219" t="s" s="0">
        <v>63</v>
      </c>
      <c r="E219" t="s" s="0">
        <v>21</v>
      </c>
      <c r="F219" t="s" s="0">
        <v>52</v>
      </c>
      <c r="G219" t="s" s="0">
        <v>60</v>
      </c>
      <c r="H219" t="n" s="0">
        <v>935707.0</v>
      </c>
      <c r="I219" s="0">
        <f>1/COUNTIFS($H$5:$H$308,H219,$J$5:$J$308,1)</f>
      </c>
      <c r="J219" s="0">
        <f>IF(SUBTOTAL(103,H219) = 1, 1, 0)</f>
      </c>
      <c r="K219" t="n" s="0">
        <v>2025.0</v>
      </c>
      <c r="L219" t="s" s="0">
        <v>24</v>
      </c>
      <c r="M219" t="s" s="0">
        <v>33</v>
      </c>
      <c r="N219" t="s" s="0">
        <v>26</v>
      </c>
      <c r="O219" t="s" s="0">
        <v>35</v>
      </c>
      <c r="P219" t="s" s="0">
        <v>36</v>
      </c>
      <c r="Q219" t="n" s="0">
        <v>19.0</v>
      </c>
      <c r="R219" t="s" s="0">
        <v>29</v>
      </c>
    </row>
    <row r="220">
      <c r="A220" t="n" s="3">
        <v>45993.626284722224</v>
      </c>
      <c r="B220" t="s" s="0">
        <v>18</v>
      </c>
      <c r="C220" t="s" s="0">
        <v>19</v>
      </c>
      <c r="D220" t="s" s="0">
        <v>63</v>
      </c>
      <c r="E220" t="s" s="0">
        <v>21</v>
      </c>
      <c r="F220" t="s" s="0">
        <v>43</v>
      </c>
      <c r="G220" t="s" s="0">
        <v>32</v>
      </c>
      <c r="H220" t="n" s="0">
        <v>853658.0</v>
      </c>
      <c r="I220" s="0">
        <f>1/COUNTIFS($H$5:$H$308,H220,$J$5:$J$308,1)</f>
      </c>
      <c r="J220" s="0">
        <f>IF(SUBTOTAL(103,H220) = 1, 1, 0)</f>
      </c>
      <c r="K220" t="n" s="0">
        <v>2025.0</v>
      </c>
      <c r="L220" t="s" s="0">
        <v>24</v>
      </c>
      <c r="M220" t="s" s="0">
        <v>25</v>
      </c>
      <c r="N220" t="s" s="0">
        <v>34</v>
      </c>
      <c r="O220" t="s" s="0">
        <v>138</v>
      </c>
      <c r="P220" t="s" s="0">
        <v>28</v>
      </c>
      <c r="Q220" t="n" s="0">
        <v>21.0</v>
      </c>
      <c r="R220" t="s" s="0">
        <v>29</v>
      </c>
    </row>
    <row r="221">
      <c r="A221" t="n" s="3">
        <v>45993.6290625</v>
      </c>
      <c r="B221" t="s" s="0">
        <v>18</v>
      </c>
      <c r="C221" t="s" s="0">
        <v>19</v>
      </c>
      <c r="D221" t="s" s="0">
        <v>63</v>
      </c>
      <c r="E221" t="s" s="0">
        <v>21</v>
      </c>
      <c r="F221" t="s" s="0">
        <v>52</v>
      </c>
      <c r="G221" t="s" s="0">
        <v>53</v>
      </c>
      <c r="H221" t="n" s="0">
        <v>847564.0</v>
      </c>
      <c r="I221" s="0">
        <f>1/COUNTIFS($H$5:$H$308,H221,$J$5:$J$308,1)</f>
      </c>
      <c r="J221" s="0">
        <f>IF(SUBTOTAL(103,H221) = 1, 1, 0)</f>
      </c>
      <c r="K221" t="n" s="0">
        <v>2025.0</v>
      </c>
      <c r="L221" t="s" s="0">
        <v>24</v>
      </c>
      <c r="M221" t="s" s="0">
        <v>33</v>
      </c>
      <c r="N221" t="s" s="0">
        <v>34</v>
      </c>
      <c r="O221" t="s" s="0">
        <v>35</v>
      </c>
      <c r="P221" t="s" s="0">
        <v>36</v>
      </c>
      <c r="Q221" t="n" s="0">
        <v>20.0</v>
      </c>
      <c r="R221" t="s" s="0">
        <v>29</v>
      </c>
    </row>
    <row r="222">
      <c r="A222" t="n" s="3">
        <v>45993.630162037036</v>
      </c>
      <c r="B222" t="s" s="0">
        <v>18</v>
      </c>
      <c r="C222" t="s" s="0">
        <v>19</v>
      </c>
      <c r="D222" t="s" s="0">
        <v>63</v>
      </c>
      <c r="E222" t="s" s="0">
        <v>21</v>
      </c>
      <c r="F222" t="s" s="0">
        <v>22</v>
      </c>
      <c r="G222" t="s" s="0">
        <v>128</v>
      </c>
      <c r="H222" t="n" s="0">
        <v>956929.0</v>
      </c>
      <c r="I222" s="0">
        <f>1/COUNTIFS($H$5:$H$308,H222,$J$5:$J$308,1)</f>
      </c>
      <c r="J222" s="0">
        <f>IF(SUBTOTAL(103,H222) = 1, 1, 0)</f>
      </c>
      <c r="K222" t="n" s="0">
        <v>2024.0</v>
      </c>
      <c r="L222" t="s" s="0">
        <v>77</v>
      </c>
      <c r="M222" t="s" s="0">
        <v>78</v>
      </c>
      <c r="N222" t="s" s="0">
        <v>55</v>
      </c>
      <c r="O222" t="s" s="0">
        <v>19</v>
      </c>
      <c r="P222" t="s" s="0">
        <v>36</v>
      </c>
      <c r="Q222" t="n" s="0">
        <v>19.0</v>
      </c>
      <c r="R222" t="s" s="0">
        <v>29</v>
      </c>
    </row>
    <row r="223">
      <c r="A223" t="n" s="3">
        <v>45993.630960648145</v>
      </c>
      <c r="B223" t="s" s="0">
        <v>18</v>
      </c>
      <c r="C223" t="s" s="0">
        <v>19</v>
      </c>
      <c r="D223" t="s" s="0">
        <v>63</v>
      </c>
      <c r="E223" t="s" s="0">
        <v>21</v>
      </c>
      <c r="F223" t="s" s="0">
        <v>52</v>
      </c>
      <c r="G223" t="s" s="0">
        <v>86</v>
      </c>
      <c r="H223" t="n" s="0">
        <v>1003725.0</v>
      </c>
      <c r="I223" s="0">
        <f>1/COUNTIFS($H$5:$H$308,H223,$J$5:$J$308,1)</f>
      </c>
      <c r="J223" s="0">
        <f>IF(SUBTOTAL(103,H223) = 1, 1, 0)</f>
      </c>
      <c r="K223" t="n" s="0">
        <v>2025.0</v>
      </c>
      <c r="L223" t="s" s="0">
        <v>24</v>
      </c>
      <c r="M223" t="s" s="0">
        <v>123</v>
      </c>
      <c r="N223" t="s" s="0">
        <v>55</v>
      </c>
      <c r="O223" t="s" s="0">
        <v>169</v>
      </c>
      <c r="P223" t="s" s="0">
        <v>28</v>
      </c>
      <c r="Q223" t="n" s="0">
        <v>18.0</v>
      </c>
      <c r="R223" t="s" s="0">
        <v>29</v>
      </c>
    </row>
    <row r="224">
      <c r="A224" t="n" s="3">
        <v>45993.63165509259</v>
      </c>
      <c r="B224" t="s" s="0">
        <v>18</v>
      </c>
      <c r="C224" t="s" s="0">
        <v>19</v>
      </c>
      <c r="D224" t="s" s="0">
        <v>63</v>
      </c>
      <c r="E224" t="s" s="0">
        <v>21</v>
      </c>
      <c r="F224" t="s" s="0">
        <v>67</v>
      </c>
      <c r="G224" t="s" s="0">
        <v>96</v>
      </c>
      <c r="H224" t="n" s="0">
        <v>800442.0</v>
      </c>
      <c r="I224" s="0">
        <f>1/COUNTIFS($H$5:$H$308,H224,$J$5:$J$308,1)</f>
      </c>
      <c r="J224" s="0">
        <f>IF(SUBTOTAL(103,H224) = 1, 1, 0)</f>
      </c>
      <c r="K224" t="n" s="0">
        <v>2025.0</v>
      </c>
      <c r="L224" t="s" s="0">
        <v>24</v>
      </c>
      <c r="M224" t="s" s="0">
        <v>57</v>
      </c>
      <c r="N224" t="s" s="0">
        <v>64</v>
      </c>
      <c r="O224" t="s" s="0">
        <v>195</v>
      </c>
      <c r="P224" t="s" s="0">
        <v>36</v>
      </c>
      <c r="Q224" t="n" s="0">
        <v>25.0</v>
      </c>
      <c r="R224" t="s" s="0">
        <v>196</v>
      </c>
    </row>
    <row r="225">
      <c r="A225" t="n" s="3">
        <v>45993.63637731481</v>
      </c>
      <c r="B225" t="s" s="0">
        <v>18</v>
      </c>
      <c r="C225" t="s" s="0">
        <v>19</v>
      </c>
      <c r="D225" t="s" s="0">
        <v>63</v>
      </c>
      <c r="E225" t="s" s="0">
        <v>21</v>
      </c>
      <c r="F225" t="s" s="0">
        <v>65</v>
      </c>
      <c r="G225" t="s" s="0">
        <v>79</v>
      </c>
      <c r="H225" t="n" s="0">
        <v>1041674.0</v>
      </c>
      <c r="I225" s="0">
        <f>1/COUNTIFS($H$5:$H$308,H225,$J$5:$J$308,1)</f>
      </c>
      <c r="J225" s="0">
        <f>IF(SUBTOTAL(103,H225) = 1, 1, 0)</f>
      </c>
      <c r="K225" t="n" s="0">
        <v>2025.0</v>
      </c>
      <c r="L225" t="s" s="0">
        <v>24</v>
      </c>
      <c r="M225" t="s" s="0">
        <v>140</v>
      </c>
      <c r="N225" t="s" s="0">
        <v>95</v>
      </c>
      <c r="O225" t="s" s="0">
        <v>197</v>
      </c>
      <c r="P225" t="s" s="0">
        <v>28</v>
      </c>
      <c r="Q225" t="n" s="0">
        <v>24.0</v>
      </c>
      <c r="R225" t="s" s="0">
        <v>198</v>
      </c>
    </row>
    <row r="226">
      <c r="A226" t="n" s="3">
        <v>45993.637453703705</v>
      </c>
      <c r="B226" t="s" s="0">
        <v>18</v>
      </c>
      <c r="C226" t="s" s="0">
        <v>19</v>
      </c>
      <c r="D226" t="s" s="0">
        <v>63</v>
      </c>
      <c r="E226" t="s" s="0">
        <v>21</v>
      </c>
      <c r="F226" t="s" s="0">
        <v>52</v>
      </c>
      <c r="G226" t="s" s="0">
        <v>86</v>
      </c>
      <c r="H226" t="n" s="0">
        <v>771208.0</v>
      </c>
      <c r="I226" s="0">
        <f>1/COUNTIFS($H$5:$H$308,H226,$J$5:$J$308,1)</f>
      </c>
      <c r="J226" s="0">
        <f>IF(SUBTOTAL(103,H226) = 1, 1, 0)</f>
      </c>
      <c r="K226" t="n" s="0">
        <v>2025.0</v>
      </c>
      <c r="L226" t="s" s="0">
        <v>24</v>
      </c>
      <c r="M226" t="s" s="0">
        <v>25</v>
      </c>
      <c r="N226" t="s" s="0">
        <v>95</v>
      </c>
      <c r="O226" t="s" s="0">
        <v>164</v>
      </c>
      <c r="P226" t="s" s="0">
        <v>36</v>
      </c>
      <c r="Q226" t="n" s="0">
        <v>22.0</v>
      </c>
      <c r="R226" t="s" s="0">
        <v>29</v>
      </c>
    </row>
    <row r="227">
      <c r="A227" t="n" s="3">
        <v>45993.63893518518</v>
      </c>
      <c r="B227" t="s" s="0">
        <v>18</v>
      </c>
      <c r="C227" t="s" s="0">
        <v>19</v>
      </c>
      <c r="D227" t="s" s="0">
        <v>63</v>
      </c>
      <c r="E227" t="s" s="0">
        <v>21</v>
      </c>
      <c r="F227" t="s" s="0">
        <v>52</v>
      </c>
      <c r="G227" t="s" s="0">
        <v>199</v>
      </c>
      <c r="H227" t="n" s="0">
        <v>698929.0</v>
      </c>
      <c r="I227" s="0">
        <f>1/COUNTIFS($H$5:$H$308,H227,$J$5:$J$308,1)</f>
      </c>
      <c r="J227" s="0">
        <f>IF(SUBTOTAL(103,H227) = 1, 1, 0)</f>
      </c>
      <c r="K227" t="n" s="0">
        <v>2025.0</v>
      </c>
      <c r="L227" t="s" s="0">
        <v>24</v>
      </c>
      <c r="M227" t="s" s="0">
        <v>25</v>
      </c>
      <c r="N227" t="s" s="0">
        <v>62</v>
      </c>
      <c r="O227" t="s" s="0">
        <v>27</v>
      </c>
      <c r="P227" t="s" s="0">
        <v>36</v>
      </c>
      <c r="Q227" t="n" s="0">
        <v>22.0</v>
      </c>
      <c r="R227" t="s" s="0">
        <v>200</v>
      </c>
    </row>
    <row r="228">
      <c r="A228" t="n" s="3">
        <v>45993.64011574074</v>
      </c>
      <c r="B228" t="s" s="0">
        <v>18</v>
      </c>
      <c r="C228" t="s" s="0">
        <v>19</v>
      </c>
      <c r="D228" t="s" s="0">
        <v>63</v>
      </c>
      <c r="E228" t="s" s="0">
        <v>21</v>
      </c>
      <c r="F228" t="s" s="0">
        <v>52</v>
      </c>
      <c r="G228" t="s" s="0">
        <v>53</v>
      </c>
      <c r="H228" t="n" s="0">
        <v>1035177.0</v>
      </c>
      <c r="I228" s="0">
        <f>1/COUNTIFS($H$5:$H$308,H228,$J$5:$J$308,1)</f>
      </c>
      <c r="J228" s="0">
        <f>IF(SUBTOTAL(103,H228) = 1, 1, 0)</f>
      </c>
      <c r="K228" t="n" s="0">
        <v>2025.0</v>
      </c>
      <c r="L228" t="s" s="0">
        <v>24</v>
      </c>
      <c r="M228" t="s" s="0">
        <v>33</v>
      </c>
      <c r="N228" t="s" s="0">
        <v>55</v>
      </c>
      <c r="O228" t="s" s="0">
        <v>85</v>
      </c>
      <c r="P228" t="s" s="0">
        <v>36</v>
      </c>
      <c r="Q228" t="n" s="0">
        <v>21.0</v>
      </c>
      <c r="R228" t="s" s="0">
        <v>29</v>
      </c>
    </row>
    <row r="229">
      <c r="A229" t="n" s="3">
        <v>45993.641539351855</v>
      </c>
      <c r="B229" t="s" s="0">
        <v>18</v>
      </c>
      <c r="C229" t="s" s="0">
        <v>19</v>
      </c>
      <c r="D229" t="s" s="0">
        <v>63</v>
      </c>
      <c r="E229" t="s" s="0">
        <v>21</v>
      </c>
      <c r="F229" t="s" s="0">
        <v>65</v>
      </c>
      <c r="G229" t="s" s="0">
        <v>119</v>
      </c>
      <c r="H229" t="n" s="0">
        <v>940034.0</v>
      </c>
      <c r="I229" s="0">
        <f>1/COUNTIFS($H$5:$H$308,H229,$J$5:$J$308,1)</f>
      </c>
      <c r="J229" s="0">
        <f>IF(SUBTOTAL(103,H229) = 1, 1, 0)</f>
      </c>
      <c r="K229" t="n" s="0">
        <v>2025.0</v>
      </c>
      <c r="L229" t="s" s="0">
        <v>24</v>
      </c>
      <c r="M229" t="s" s="0">
        <v>33</v>
      </c>
      <c r="N229" t="s" s="0">
        <v>26</v>
      </c>
      <c r="O229" t="s" s="0">
        <v>130</v>
      </c>
      <c r="P229" t="s" s="0">
        <v>36</v>
      </c>
      <c r="Q229" t="n" s="0">
        <v>21.0</v>
      </c>
      <c r="R229" t="s" s="0">
        <v>29</v>
      </c>
    </row>
    <row r="230">
      <c r="A230" t="n" s="3">
        <v>45993.64262731482</v>
      </c>
      <c r="B230" t="s" s="0">
        <v>18</v>
      </c>
      <c r="C230" t="s" s="0">
        <v>19</v>
      </c>
      <c r="D230" t="s" s="0">
        <v>63</v>
      </c>
      <c r="E230" t="s" s="0">
        <v>21</v>
      </c>
      <c r="F230" t="s" s="0">
        <v>38</v>
      </c>
      <c r="G230" t="s" s="0">
        <v>201</v>
      </c>
      <c r="H230" t="n" s="0">
        <v>995957.0</v>
      </c>
      <c r="I230" s="0">
        <f>1/COUNTIFS($H$5:$H$308,H230,$J$5:$J$308,1)</f>
      </c>
      <c r="J230" s="0">
        <f>IF(SUBTOTAL(103,H230) = 1, 1, 0)</f>
      </c>
      <c r="K230" t="n" s="0">
        <v>2024.0</v>
      </c>
      <c r="L230" t="s" s="0">
        <v>116</v>
      </c>
      <c r="M230" t="s" s="0">
        <v>116</v>
      </c>
      <c r="N230" t="s" s="0">
        <v>83</v>
      </c>
      <c r="O230" t="s" s="0">
        <v>19</v>
      </c>
      <c r="P230" t="s" s="0">
        <v>36</v>
      </c>
      <c r="Q230" t="n" s="0">
        <v>23.0</v>
      </c>
      <c r="R230" t="s" s="0">
        <v>29</v>
      </c>
    </row>
    <row r="231">
      <c r="A231" t="n" s="3">
        <v>45993.64928240741</v>
      </c>
      <c r="B231" t="s" s="0">
        <v>18</v>
      </c>
      <c r="C231" t="s" s="0">
        <v>37</v>
      </c>
      <c r="D231" t="s" s="0">
        <v>75</v>
      </c>
      <c r="E231" t="s" s="0">
        <v>21</v>
      </c>
      <c r="F231" t="s" s="0">
        <v>31</v>
      </c>
      <c r="G231" t="s" s="0">
        <v>73</v>
      </c>
      <c r="H231" t="n" s="0">
        <v>1025686.0</v>
      </c>
      <c r="I231" s="0">
        <f>1/COUNTIFS($H$5:$H$308,H231,$J$5:$J$308,1)</f>
      </c>
      <c r="J231" s="0">
        <f>IF(SUBTOTAL(103,H231) = 1, 1, 0)</f>
      </c>
      <c r="K231" t="n" s="0">
        <v>2025.0</v>
      </c>
      <c r="L231" t="s" s="0">
        <v>24</v>
      </c>
      <c r="M231" t="s" s="0">
        <v>33</v>
      </c>
      <c r="N231" t="s" s="0">
        <v>55</v>
      </c>
      <c r="O231" t="s" s="0">
        <v>35</v>
      </c>
      <c r="P231" t="s" s="0">
        <v>36</v>
      </c>
      <c r="Q231" t="n" s="0">
        <v>18.0</v>
      </c>
      <c r="R231" t="s" s="0">
        <v>29</v>
      </c>
    </row>
    <row r="232">
      <c r="A232" t="n" s="3">
        <v>45993.674097222225</v>
      </c>
      <c r="B232" t="s" s="0">
        <v>18</v>
      </c>
      <c r="C232" t="s" s="0">
        <v>37</v>
      </c>
      <c r="D232" t="s" s="0">
        <v>99</v>
      </c>
      <c r="E232" t="s" s="0">
        <v>21</v>
      </c>
      <c r="F232" t="s" s="0">
        <v>31</v>
      </c>
      <c r="G232" t="s" s="0">
        <v>105</v>
      </c>
      <c r="H232" t="n" s="0">
        <v>910962.0</v>
      </c>
      <c r="I232" s="0">
        <f>1/COUNTIFS($H$5:$H$308,H232,$J$5:$J$308,1)</f>
      </c>
      <c r="J232" s="0">
        <f>IF(SUBTOTAL(103,H232) = 1, 1, 0)</f>
      </c>
      <c r="K232" t="n" s="0">
        <v>2025.0</v>
      </c>
      <c r="L232" t="s" s="0">
        <v>24</v>
      </c>
      <c r="M232" t="s" s="0">
        <v>33</v>
      </c>
      <c r="N232" t="s" s="0">
        <v>58</v>
      </c>
      <c r="O232" t="s" s="0">
        <v>152</v>
      </c>
      <c r="P232" t="s" s="0">
        <v>36</v>
      </c>
      <c r="Q232" t="n" s="0">
        <v>22.0</v>
      </c>
      <c r="R232" t="s" s="0">
        <v>29</v>
      </c>
    </row>
    <row r="233">
      <c r="A233" t="n" s="3">
        <v>45993.74475694444</v>
      </c>
      <c r="B233" t="s" s="0">
        <v>18</v>
      </c>
      <c r="C233" t="s" s="0">
        <v>37</v>
      </c>
      <c r="D233" t="s" s="0">
        <v>75</v>
      </c>
      <c r="E233" t="s" s="0">
        <v>21</v>
      </c>
      <c r="F233" t="s" s="0">
        <v>65</v>
      </c>
      <c r="G233" t="s" s="0">
        <v>79</v>
      </c>
      <c r="H233" t="n" s="0">
        <v>841825.0</v>
      </c>
      <c r="I233" s="0">
        <f>1/COUNTIFS($H$5:$H$308,H233,$J$5:$J$308,1)</f>
      </c>
      <c r="J233" s="0">
        <f>IF(SUBTOTAL(103,H233) = 1, 1, 0)</f>
      </c>
      <c r="K233" t="n" s="0">
        <v>2025.0</v>
      </c>
      <c r="L233" t="s" s="0">
        <v>24</v>
      </c>
      <c r="M233" t="s" s="0">
        <v>80</v>
      </c>
      <c r="N233" t="s" s="0">
        <v>34</v>
      </c>
      <c r="O233" t="s" s="0">
        <v>170</v>
      </c>
      <c r="P233" t="s" s="0">
        <v>36</v>
      </c>
      <c r="Q233" t="n" s="0">
        <v>20.0</v>
      </c>
      <c r="R233" t="s" s="0">
        <v>29</v>
      </c>
    </row>
    <row r="234">
      <c r="A234" t="n" s="3">
        <v>45994.375</v>
      </c>
      <c r="B234" t="s" s="0">
        <v>113</v>
      </c>
      <c r="C234" t="s" s="0">
        <v>37</v>
      </c>
      <c r="D234" t="s" s="0">
        <v>75</v>
      </c>
      <c r="E234" t="s" s="0">
        <v>21</v>
      </c>
      <c r="F234" t="s" s="0">
        <v>65</v>
      </c>
      <c r="G234" t="s" s="0">
        <v>179</v>
      </c>
      <c r="H234" t="n" s="0">
        <v>841431.0</v>
      </c>
      <c r="I234" s="0">
        <f>1/COUNTIFS($H$5:$H$308,H234,$J$5:$J$308,1)</f>
      </c>
      <c r="J234" s="0">
        <f>IF(SUBTOTAL(103,H234) = 1, 1, 0)</f>
      </c>
      <c r="K234" t="n" s="0">
        <v>2025.0</v>
      </c>
      <c r="L234" t="s" s="0">
        <v>24</v>
      </c>
      <c r="M234" t="s" s="0">
        <v>131</v>
      </c>
      <c r="N234" t="s" s="0">
        <v>34</v>
      </c>
      <c r="O234" t="s" s="0">
        <v>61</v>
      </c>
      <c r="P234" t="s" s="0">
        <v>36</v>
      </c>
      <c r="Q234" t="n" s="0">
        <v>21.0</v>
      </c>
      <c r="R234" t="s" s="0">
        <v>29</v>
      </c>
    </row>
    <row r="235">
      <c r="A235" t="n" s="3">
        <v>45994.5625</v>
      </c>
      <c r="B235" t="s" s="0">
        <v>113</v>
      </c>
      <c r="C235" t="s" s="0">
        <v>37</v>
      </c>
      <c r="D235" t="s" s="0">
        <v>75</v>
      </c>
      <c r="E235" t="s" s="0">
        <v>21</v>
      </c>
      <c r="F235" t="s" s="0">
        <v>31</v>
      </c>
      <c r="G235" t="s" s="0">
        <v>137</v>
      </c>
      <c r="H235" t="n" s="0">
        <v>910898.0</v>
      </c>
      <c r="I235" s="0">
        <f>1/COUNTIFS($H$5:$H$308,H235,$J$5:$J$308,1)</f>
      </c>
      <c r="J235" s="0">
        <f>IF(SUBTOTAL(103,H235) = 1, 1, 0)</f>
      </c>
      <c r="K235" t="n" s="0">
        <v>2025.0</v>
      </c>
      <c r="L235" t="s" s="0">
        <v>24</v>
      </c>
      <c r="M235" t="s" s="0">
        <v>202</v>
      </c>
      <c r="N235" t="s" s="0">
        <v>26</v>
      </c>
      <c r="O235" t="s" s="0">
        <v>74</v>
      </c>
      <c r="P235" t="s" s="0">
        <v>28</v>
      </c>
      <c r="Q235" t="n" s="0">
        <v>20.0</v>
      </c>
      <c r="R235" t="s" s="0">
        <v>29</v>
      </c>
    </row>
    <row r="236">
      <c r="A236" t="n" s="3">
        <v>45995.6162962963</v>
      </c>
      <c r="B236" t="s" s="0">
        <v>18</v>
      </c>
      <c r="C236" t="s" s="0">
        <v>37</v>
      </c>
      <c r="D236" t="s" s="0">
        <v>46</v>
      </c>
      <c r="E236" t="s" s="0">
        <v>21</v>
      </c>
      <c r="F236" t="s" s="0">
        <v>52</v>
      </c>
      <c r="G236" t="s" s="0">
        <v>126</v>
      </c>
      <c r="H236" t="n" s="0">
        <v>924090.0</v>
      </c>
      <c r="I236" s="0">
        <f>1/COUNTIFS($H$5:$H$308,H236,$J$5:$J$308,1)</f>
      </c>
      <c r="J236" s="0">
        <f>IF(SUBTOTAL(103,H236) = 1, 1, 0)</f>
      </c>
      <c r="K236" t="n" s="0">
        <v>2025.0</v>
      </c>
      <c r="L236" t="s" s="0">
        <v>24</v>
      </c>
      <c r="M236" t="s" s="0">
        <v>33</v>
      </c>
      <c r="N236" t="s" s="0">
        <v>26</v>
      </c>
      <c r="O236" t="s" s="0">
        <v>121</v>
      </c>
      <c r="P236" t="s" s="0">
        <v>36</v>
      </c>
      <c r="Q236" t="n" s="0">
        <v>20.0</v>
      </c>
      <c r="R236" t="s" s="0">
        <v>29</v>
      </c>
    </row>
    <row r="237">
      <c r="A237" t="n" s="3">
        <v>45996.364583333336</v>
      </c>
      <c r="B237" t="s" s="0">
        <v>113</v>
      </c>
      <c r="C237" t="s" s="0">
        <v>37</v>
      </c>
      <c r="D237" t="s" s="0">
        <v>75</v>
      </c>
      <c r="E237" t="s" s="0">
        <v>21</v>
      </c>
      <c r="F237" t="s" s="0">
        <v>203</v>
      </c>
      <c r="G237" t="s" s="0">
        <v>204</v>
      </c>
      <c r="H237" t="n" s="0">
        <v>983925.0</v>
      </c>
      <c r="I237" s="0">
        <f>1/COUNTIFS($H$5:$H$308,H237,$J$5:$J$308,1)</f>
      </c>
      <c r="J237" s="0">
        <f>IF(SUBTOTAL(103,H237) = 1, 1, 0)</f>
      </c>
      <c r="K237" t="n" s="0">
        <v>2024.0</v>
      </c>
      <c r="L237" t="s" s="0">
        <v>24</v>
      </c>
      <c r="M237" t="s" s="0">
        <v>131</v>
      </c>
      <c r="N237" t="s" s="0">
        <v>55</v>
      </c>
      <c r="O237" t="s" s="0">
        <v>61</v>
      </c>
      <c r="P237" t="s" s="0">
        <v>36</v>
      </c>
      <c r="Q237" t="n" s="0">
        <v>26.0</v>
      </c>
      <c r="R237" t="s" s="0">
        <v>205</v>
      </c>
    </row>
    <row r="238">
      <c r="A238" t="n" s="3">
        <v>45996.5625</v>
      </c>
      <c r="B238" t="s" s="0">
        <v>113</v>
      </c>
      <c r="C238" t="s" s="0">
        <v>37</v>
      </c>
      <c r="D238" t="s" s="0">
        <v>75</v>
      </c>
      <c r="E238" t="s" s="0">
        <v>21</v>
      </c>
      <c r="F238" t="s" s="0">
        <v>38</v>
      </c>
      <c r="G238" t="s" s="0">
        <v>82</v>
      </c>
      <c r="H238" t="n" s="0">
        <v>700950.0</v>
      </c>
      <c r="I238" s="0">
        <f>1/COUNTIFS($H$5:$H$308,H238,$J$5:$J$308,1)</f>
      </c>
      <c r="J238" s="0">
        <f>IF(SUBTOTAL(103,H238) = 1, 1, 0)</f>
      </c>
      <c r="K238" t="n" s="0">
        <v>2025.0</v>
      </c>
      <c r="L238" t="s" s="0">
        <v>24</v>
      </c>
      <c r="M238" t="s" s="0">
        <v>131</v>
      </c>
      <c r="N238" t="s" s="0">
        <v>64</v>
      </c>
      <c r="O238" t="s" s="0">
        <v>61</v>
      </c>
      <c r="P238" t="s" s="0">
        <v>28</v>
      </c>
      <c r="Q238" t="n" s="0">
        <v>23.0</v>
      </c>
      <c r="R238" t="s" s="0">
        <v>29</v>
      </c>
    </row>
    <row r="239">
      <c r="A239" t="n" s="3">
        <v>45999.694189814814</v>
      </c>
      <c r="B239" t="s" s="0">
        <v>18</v>
      </c>
      <c r="C239" t="s" s="0">
        <v>37</v>
      </c>
      <c r="D239" t="s" s="0">
        <v>75</v>
      </c>
      <c r="E239" t="s" s="0">
        <v>21</v>
      </c>
      <c r="F239" t="s" s="0">
        <v>67</v>
      </c>
      <c r="G239" t="s" s="0">
        <v>206</v>
      </c>
      <c r="H239" t="n" s="0">
        <v>925171.0</v>
      </c>
      <c r="I239" s="0">
        <f>1/COUNTIFS($H$5:$H$308,H239,$J$5:$J$308,1)</f>
      </c>
      <c r="J239" s="0">
        <f>IF(SUBTOTAL(103,H239) = 1, 1, 0)</f>
      </c>
      <c r="K239" t="n" s="0">
        <v>2025.0</v>
      </c>
      <c r="L239" t="s" s="0">
        <v>24</v>
      </c>
      <c r="M239" t="s" s="0">
        <v>57</v>
      </c>
      <c r="N239" t="s" s="0">
        <v>26</v>
      </c>
      <c r="O239" t="s" s="0">
        <v>61</v>
      </c>
      <c r="P239" t="s" s="0">
        <v>36</v>
      </c>
      <c r="Q239" t="n" s="0">
        <v>19.0</v>
      </c>
      <c r="R239" t="s" s="0">
        <v>29</v>
      </c>
    </row>
    <row r="240">
      <c r="A240" t="n" s="3">
        <v>46003.40625</v>
      </c>
      <c r="B240" t="s" s="0">
        <v>113</v>
      </c>
      <c r="C240" t="s" s="0">
        <v>37</v>
      </c>
      <c r="D240" t="s" s="0">
        <v>75</v>
      </c>
      <c r="E240" t="s" s="0">
        <v>21</v>
      </c>
      <c r="F240" t="s" s="0">
        <v>87</v>
      </c>
      <c r="G240" t="s" s="0">
        <v>207</v>
      </c>
      <c r="H240" t="n" s="0">
        <v>1023567.0</v>
      </c>
      <c r="I240" s="0">
        <f>1/COUNTIFS($H$5:$H$308,H240,$J$5:$J$308,1)</f>
      </c>
      <c r="J240" s="0">
        <f>IF(SUBTOTAL(103,H240) = 1, 1, 0)</f>
      </c>
      <c r="K240" t="n" s="0">
        <v>2025.0</v>
      </c>
      <c r="L240" t="s" s="0">
        <v>24</v>
      </c>
      <c r="M240" t="s" s="0">
        <v>131</v>
      </c>
      <c r="N240" t="s" s="0">
        <v>55</v>
      </c>
      <c r="O240" t="s" s="0">
        <v>61</v>
      </c>
      <c r="P240" t="s" s="0">
        <v>36</v>
      </c>
      <c r="Q240" t="n" s="0">
        <v>18.0</v>
      </c>
      <c r="R240" t="s" s="0">
        <v>208</v>
      </c>
    </row>
    <row r="241">
      <c r="A241" t="n" s="3">
        <v>46006.68949074074</v>
      </c>
      <c r="B241" t="s" s="0">
        <v>18</v>
      </c>
      <c r="C241" t="s" s="0">
        <v>37</v>
      </c>
      <c r="D241" t="s" s="0">
        <v>75</v>
      </c>
      <c r="E241" t="s" s="0">
        <v>21</v>
      </c>
      <c r="F241" t="s" s="0">
        <v>65</v>
      </c>
      <c r="G241" t="s" s="0">
        <v>66</v>
      </c>
      <c r="H241" t="n" s="0">
        <v>851562.0</v>
      </c>
      <c r="I241" s="0">
        <f>1/COUNTIFS($H$5:$H$308,H241,$J$5:$J$308,1)</f>
      </c>
      <c r="J241" s="0">
        <f>IF(SUBTOTAL(103,H241) = 1, 1, 0)</f>
      </c>
      <c r="K241" t="n" s="0">
        <v>2025.0</v>
      </c>
      <c r="L241" t="s" s="0">
        <v>24</v>
      </c>
      <c r="M241" t="s" s="0">
        <v>25</v>
      </c>
      <c r="N241" t="s" s="0">
        <v>34</v>
      </c>
      <c r="O241" t="s" s="0">
        <v>27</v>
      </c>
      <c r="P241" t="s" s="0">
        <v>36</v>
      </c>
      <c r="Q241" t="n" s="0">
        <v>21.0</v>
      </c>
      <c r="R241" t="s" s="0">
        <v>29</v>
      </c>
    </row>
    <row r="242">
      <c r="A242" t="n" s="3">
        <v>46007.649502314816</v>
      </c>
      <c r="B242" t="s" s="0">
        <v>18</v>
      </c>
      <c r="C242" t="s" s="0">
        <v>51</v>
      </c>
      <c r="D242" t="s" s="0">
        <v>75</v>
      </c>
      <c r="E242" t="s" s="0">
        <v>21</v>
      </c>
      <c r="F242" t="s" s="0">
        <v>65</v>
      </c>
      <c r="G242" t="s" s="0">
        <v>79</v>
      </c>
      <c r="H242" t="n" s="0">
        <v>742188.0</v>
      </c>
      <c r="I242" s="0">
        <f>1/COUNTIFS($H$5:$H$308,H242,$J$5:$J$308,1)</f>
      </c>
      <c r="J242" s="0">
        <f>IF(SUBTOTAL(103,H242) = 1, 1, 0)</f>
      </c>
      <c r="K242" t="n" s="0">
        <v>2025.0</v>
      </c>
      <c r="L242" t="s" s="0">
        <v>24</v>
      </c>
      <c r="M242" t="s" s="0">
        <v>80</v>
      </c>
      <c r="N242" t="s" s="0">
        <v>58</v>
      </c>
      <c r="O242" t="s" s="0">
        <v>90</v>
      </c>
      <c r="P242" t="s" s="0">
        <v>36</v>
      </c>
      <c r="Q242" t="n" s="0">
        <v>23.0</v>
      </c>
      <c r="R242" t="s" s="0">
        <v>29</v>
      </c>
    </row>
    <row r="243">
      <c r="A243" t="n" s="3">
        <v>46008.375</v>
      </c>
      <c r="B243" t="s" s="0">
        <v>18</v>
      </c>
      <c r="C243" t="s" s="0">
        <v>37</v>
      </c>
      <c r="D243" t="s" s="0">
        <v>75</v>
      </c>
      <c r="E243" t="s" s="0">
        <v>21</v>
      </c>
      <c r="F243" t="s" s="0">
        <v>65</v>
      </c>
      <c r="G243" t="s" s="0">
        <v>179</v>
      </c>
      <c r="H243" t="n" s="0">
        <v>841431.0</v>
      </c>
      <c r="I243" s="0">
        <f>1/COUNTIFS($H$5:$H$308,H243,$J$5:$J$308,1)</f>
      </c>
      <c r="J243" s="0">
        <f>IF(SUBTOTAL(103,H243) = 1, 1, 0)</f>
      </c>
      <c r="K243" t="n" s="0">
        <v>2025.0</v>
      </c>
      <c r="L243" t="s" s="0">
        <v>24</v>
      </c>
      <c r="M243" t="s" s="0">
        <v>131</v>
      </c>
      <c r="N243" t="s" s="0">
        <v>34</v>
      </c>
      <c r="O243" t="s" s="0">
        <v>61</v>
      </c>
      <c r="P243" t="s" s="0">
        <v>36</v>
      </c>
      <c r="Q243" t="n" s="0">
        <v>21.0</v>
      </c>
      <c r="R243" t="s" s="0">
        <v>29</v>
      </c>
    </row>
    <row r="244">
      <c r="A244" t="n" s="3">
        <v>46008.541666666664</v>
      </c>
      <c r="B244" t="s" s="0">
        <v>113</v>
      </c>
      <c r="C244" t="s" s="0">
        <v>37</v>
      </c>
      <c r="D244" t="s" s="0">
        <v>75</v>
      </c>
      <c r="E244" t="s" s="0">
        <v>21</v>
      </c>
      <c r="F244" t="s" s="0">
        <v>31</v>
      </c>
      <c r="G244" t="s" s="0">
        <v>163</v>
      </c>
      <c r="H244" t="n" s="0">
        <v>925246.0</v>
      </c>
      <c r="I244" s="0">
        <f>1/COUNTIFS($H$5:$H$308,H244,$J$5:$J$308,1)</f>
      </c>
      <c r="J244" s="0">
        <f>IF(SUBTOTAL(103,H244) = 1, 1, 0)</f>
      </c>
      <c r="K244" t="n" s="0">
        <v>2025.0</v>
      </c>
      <c r="L244" t="s" s="0">
        <v>24</v>
      </c>
      <c r="M244" t="s" s="0">
        <v>131</v>
      </c>
      <c r="N244" t="s" s="0">
        <v>26</v>
      </c>
      <c r="O244" t="s" s="0">
        <v>61</v>
      </c>
      <c r="P244" t="s" s="0">
        <v>36</v>
      </c>
      <c r="Q244" t="n" s="0">
        <v>20.0</v>
      </c>
      <c r="R244" t="s" s="0">
        <v>29</v>
      </c>
    </row>
    <row r="245">
      <c r="A245" t="n" s="3">
        <v>46008.61644675926</v>
      </c>
      <c r="B245" t="s" s="0">
        <v>18</v>
      </c>
      <c r="C245" t="s" s="0">
        <v>37</v>
      </c>
      <c r="D245" t="s" s="0">
        <v>99</v>
      </c>
      <c r="E245" t="s" s="0">
        <v>21</v>
      </c>
      <c r="F245" t="s" s="0">
        <v>31</v>
      </c>
      <c r="G245" t="s" s="0">
        <v>73</v>
      </c>
      <c r="H245" t="n" s="0">
        <v>884063.0</v>
      </c>
      <c r="I245" s="0">
        <f>1/COUNTIFS($H$5:$H$308,H245,$J$5:$J$308,1)</f>
      </c>
      <c r="J245" s="0">
        <f>IF(SUBTOTAL(103,H245) = 1, 1, 0)</f>
      </c>
      <c r="K245" t="n" s="0">
        <v>2023.0</v>
      </c>
      <c r="L245" t="s" s="0">
        <v>77</v>
      </c>
      <c r="M245" t="s" s="0">
        <v>78</v>
      </c>
      <c r="N245" t="s" s="0">
        <v>34</v>
      </c>
      <c r="O245" t="s" s="0">
        <v>19</v>
      </c>
      <c r="P245" t="s" s="0">
        <v>28</v>
      </c>
      <c r="Q245" t="n" s="0">
        <v>22.0</v>
      </c>
      <c r="R245" t="s" s="0">
        <v>29</v>
      </c>
    </row>
    <row r="246">
      <c r="A246" t="n" s="3">
        <v>46008.68791666667</v>
      </c>
      <c r="B246" t="s" s="0">
        <v>18</v>
      </c>
      <c r="C246" t="s" s="0">
        <v>37</v>
      </c>
      <c r="D246" t="s" s="0">
        <v>99</v>
      </c>
      <c r="E246" t="s" s="0">
        <v>21</v>
      </c>
      <c r="F246" t="s" s="0">
        <v>52</v>
      </c>
      <c r="G246" t="s" s="0">
        <v>32</v>
      </c>
      <c r="H246" t="n" s="0">
        <v>837687.0</v>
      </c>
      <c r="I246" s="0">
        <f>1/COUNTIFS($H$5:$H$308,H246,$J$5:$J$308,1)</f>
      </c>
      <c r="J246" s="0">
        <f>IF(SUBTOTAL(103,H246) = 1, 1, 0)</f>
      </c>
      <c r="K246" t="n" s="0">
        <v>2025.0</v>
      </c>
      <c r="L246" t="s" s="0">
        <v>24</v>
      </c>
      <c r="M246" t="s" s="0">
        <v>25</v>
      </c>
      <c r="N246" t="s" s="0">
        <v>34</v>
      </c>
      <c r="O246" t="s" s="0">
        <v>27</v>
      </c>
      <c r="P246" t="s" s="0">
        <v>36</v>
      </c>
      <c r="Q246" t="n" s="0">
        <v>20.0</v>
      </c>
      <c r="R246" t="s" s="0">
        <v>29</v>
      </c>
    </row>
    <row r="247">
      <c r="A247" t="n" s="3">
        <v>46010.375</v>
      </c>
      <c r="B247" t="s" s="0">
        <v>113</v>
      </c>
      <c r="C247" t="s" s="0">
        <v>37</v>
      </c>
      <c r="D247" t="s" s="0">
        <v>75</v>
      </c>
      <c r="E247" t="s" s="0">
        <v>21</v>
      </c>
      <c r="F247" t="s" s="0">
        <v>31</v>
      </c>
      <c r="G247" t="s" s="0">
        <v>32</v>
      </c>
      <c r="H247" t="n" s="0">
        <v>848896.0</v>
      </c>
      <c r="I247" s="0">
        <f>1/COUNTIFS($H$5:$H$308,H247,$J$5:$J$308,1)</f>
      </c>
      <c r="J247" s="0">
        <f>IF(SUBTOTAL(103,H247) = 1, 1, 0)</f>
      </c>
      <c r="K247" t="n" s="0">
        <v>2025.0</v>
      </c>
      <c r="L247" t="s" s="0">
        <v>24</v>
      </c>
      <c r="M247" t="s" s="0">
        <v>131</v>
      </c>
      <c r="N247" t="s" s="0">
        <v>34</v>
      </c>
      <c r="O247" t="s" s="0">
        <v>61</v>
      </c>
      <c r="P247" t="s" s="0">
        <v>36</v>
      </c>
      <c r="Q247" t="n" s="0">
        <v>20.0</v>
      </c>
      <c r="R247" t="s" s="0">
        <v>209</v>
      </c>
    </row>
    <row r="248">
      <c r="A248" t="n" s="3">
        <v>46027.54280092593</v>
      </c>
      <c r="B248" t="s" s="0">
        <v>18</v>
      </c>
      <c r="C248" t="s" s="0">
        <v>37</v>
      </c>
      <c r="D248" t="s" s="0">
        <v>99</v>
      </c>
      <c r="E248" t="s" s="0">
        <v>21</v>
      </c>
      <c r="F248" t="s" s="0">
        <v>65</v>
      </c>
      <c r="G248" t="s" s="0">
        <v>32</v>
      </c>
      <c r="H248" t="n" s="0">
        <v>1035818.0</v>
      </c>
      <c r="I248" s="0">
        <f>1/COUNTIFS($H$5:$H$308,H248,$J$5:$J$308,1)</f>
      </c>
      <c r="J248" s="0">
        <f>IF(SUBTOTAL(103,H248) = 1, 1, 0)</f>
      </c>
      <c r="K248" t="n" s="0">
        <v>2025.0</v>
      </c>
      <c r="L248" t="s" s="0">
        <v>24</v>
      </c>
      <c r="M248" t="s" s="0">
        <v>57</v>
      </c>
      <c r="N248" t="s" s="0">
        <v>55</v>
      </c>
      <c r="O248" t="s" s="0">
        <v>89</v>
      </c>
      <c r="P248" t="s" s="0">
        <v>36</v>
      </c>
      <c r="Q248" t="n" s="0">
        <v>21.0</v>
      </c>
      <c r="R248" t="s" s="0">
        <v>210</v>
      </c>
    </row>
    <row r="249">
      <c r="A249" t="n" s="3">
        <v>46029.4825462963</v>
      </c>
      <c r="B249" t="s" s="0">
        <v>113</v>
      </c>
      <c r="C249" t="s" s="0">
        <v>19</v>
      </c>
      <c r="D249" t="s" s="0">
        <v>75</v>
      </c>
      <c r="E249" t="s" s="0">
        <v>21</v>
      </c>
      <c r="F249" t="s" s="0">
        <v>52</v>
      </c>
      <c r="G249" t="s" s="0">
        <v>126</v>
      </c>
      <c r="H249" t="n" s="0">
        <v>1018733.0</v>
      </c>
      <c r="I249" s="0">
        <f>1/COUNTIFS($H$5:$H$308,H249,$J$5:$J$308,1)</f>
      </c>
      <c r="J249" s="0">
        <f>IF(SUBTOTAL(103,H249) = 1, 1, 0)</f>
      </c>
      <c r="K249" t="n" s="0">
        <v>2025.0</v>
      </c>
      <c r="L249" t="s" s="0">
        <v>24</v>
      </c>
      <c r="M249" t="s" s="0">
        <v>131</v>
      </c>
      <c r="N249" t="s" s="0">
        <v>55</v>
      </c>
      <c r="O249" t="s" s="0">
        <v>61</v>
      </c>
      <c r="P249" t="s" s="0">
        <v>36</v>
      </c>
      <c r="Q249" t="n" s="0">
        <v>19.0</v>
      </c>
      <c r="R249" t="s" s="0">
        <v>29</v>
      </c>
    </row>
    <row r="250">
      <c r="A250" t="n" s="3">
        <v>46031.62359953704</v>
      </c>
      <c r="B250" t="s" s="0">
        <v>100</v>
      </c>
      <c r="C250" t="s" s="0">
        <v>37</v>
      </c>
      <c r="D250" t="s" s="0">
        <v>101</v>
      </c>
      <c r="E250" t="s" s="0">
        <v>21</v>
      </c>
      <c r="F250" t="s" s="0">
        <v>31</v>
      </c>
      <c r="G250" t="s" s="0">
        <v>73</v>
      </c>
      <c r="H250" t="n" s="0">
        <v>1001938.0</v>
      </c>
      <c r="I250" s="0">
        <f>1/COUNTIFS($H$5:$H$308,H250,$J$5:$J$308,1)</f>
      </c>
      <c r="J250" s="0">
        <f>IF(SUBTOTAL(103,H250) = 1, 1, 0)</f>
      </c>
      <c r="K250" t="n" s="0">
        <v>2025.0</v>
      </c>
      <c r="L250" t="s" s="0">
        <v>24</v>
      </c>
      <c r="M250" t="s" s="0">
        <v>102</v>
      </c>
      <c r="N250" t="s" s="0">
        <v>95</v>
      </c>
      <c r="O250" t="s" s="0">
        <v>90</v>
      </c>
      <c r="P250" t="s" s="0">
        <v>36</v>
      </c>
      <c r="Q250" t="n" s="0">
        <v>21.0</v>
      </c>
      <c r="R250" t="s" s="0">
        <v>29</v>
      </c>
    </row>
    <row r="251">
      <c r="A251" t="n" s="3">
        <v>46034.52820601852</v>
      </c>
      <c r="B251" t="s" s="0">
        <v>18</v>
      </c>
      <c r="C251" t="s" s="0">
        <v>37</v>
      </c>
      <c r="D251" t="s" s="0">
        <v>99</v>
      </c>
      <c r="E251" t="s" s="0">
        <v>21</v>
      </c>
      <c r="F251" t="s" s="0">
        <v>31</v>
      </c>
      <c r="G251" t="s" s="0">
        <v>32</v>
      </c>
      <c r="H251" t="n" s="0">
        <v>1001121.0</v>
      </c>
      <c r="I251" s="0">
        <f>1/COUNTIFS($H$5:$H$308,H251,$J$5:$J$308,1)</f>
      </c>
      <c r="J251" s="0">
        <f>IF(SUBTOTAL(103,H251) = 1, 1, 0)</f>
      </c>
      <c r="K251" t="n" s="0">
        <v>2025.0</v>
      </c>
      <c r="L251" t="s" s="0">
        <v>24</v>
      </c>
      <c r="M251" t="s" s="0">
        <v>80</v>
      </c>
      <c r="N251" t="s" s="0">
        <v>95</v>
      </c>
      <c r="O251" t="s" s="0">
        <v>81</v>
      </c>
      <c r="P251" t="s" s="0">
        <v>28</v>
      </c>
      <c r="Q251" t="n" s="0">
        <v>25.0</v>
      </c>
      <c r="R251" t="s" s="0">
        <v>29</v>
      </c>
    </row>
    <row r="252">
      <c r="A252" t="n" s="3">
        <v>46034.68958333333</v>
      </c>
      <c r="B252" t="s" s="0">
        <v>18</v>
      </c>
      <c r="C252" t="s" s="0">
        <v>37</v>
      </c>
      <c r="D252" t="s" s="0">
        <v>99</v>
      </c>
      <c r="E252" t="s" s="0">
        <v>21</v>
      </c>
      <c r="F252" t="s" s="0">
        <v>22</v>
      </c>
      <c r="G252" t="s" s="0">
        <v>32</v>
      </c>
      <c r="H252" t="n" s="0">
        <v>1013173.0</v>
      </c>
      <c r="I252" s="0">
        <f>1/COUNTIFS($H$5:$H$308,H252,$J$5:$J$308,1)</f>
      </c>
      <c r="J252" s="0">
        <f>IF(SUBTOTAL(103,H252) = 1, 1, 0)</f>
      </c>
      <c r="K252" t="n" s="0">
        <v>2025.0</v>
      </c>
      <c r="L252" t="s" s="0">
        <v>24</v>
      </c>
      <c r="M252" t="s" s="0">
        <v>33</v>
      </c>
      <c r="N252" t="s" s="0">
        <v>55</v>
      </c>
      <c r="O252" t="s" s="0">
        <v>35</v>
      </c>
      <c r="P252" t="s" s="0">
        <v>36</v>
      </c>
      <c r="Q252" t="n" s="0">
        <v>18.0</v>
      </c>
      <c r="R252" t="s" s="0">
        <v>29</v>
      </c>
    </row>
    <row r="253">
      <c r="A253" t="n" s="3">
        <v>46036.43162037037</v>
      </c>
      <c r="B253" t="s" s="0">
        <v>18</v>
      </c>
      <c r="C253" t="s" s="0">
        <v>37</v>
      </c>
      <c r="D253" t="s" s="0">
        <v>99</v>
      </c>
      <c r="E253" t="s" s="0">
        <v>21</v>
      </c>
      <c r="F253" t="s" s="0">
        <v>65</v>
      </c>
      <c r="G253" t="s" s="0">
        <v>32</v>
      </c>
      <c r="H253" t="n" s="0">
        <v>952823.0</v>
      </c>
      <c r="I253" s="0">
        <f>1/COUNTIFS($H$5:$H$308,H253,$J$5:$J$308,1)</f>
      </c>
      <c r="J253" s="0">
        <f>IF(SUBTOTAL(103,H253) = 1, 1, 0)</f>
      </c>
      <c r="K253" t="n" s="0">
        <v>2024.0</v>
      </c>
      <c r="L253" t="s" s="0">
        <v>168</v>
      </c>
      <c r="M253" t="s" s="0">
        <v>168</v>
      </c>
      <c r="N253" t="s" s="0">
        <v>211</v>
      </c>
      <c r="O253" t="s" s="0">
        <v>212</v>
      </c>
      <c r="P253" t="s" s="0">
        <v>36</v>
      </c>
      <c r="Q253" t="n" s="0">
        <v>24.0</v>
      </c>
      <c r="R253" t="s" s="0">
        <v>132</v>
      </c>
    </row>
    <row r="254">
      <c r="A254" t="n" s="3">
        <v>46037.49762731481</v>
      </c>
      <c r="B254" t="s" s="0">
        <v>18</v>
      </c>
      <c r="C254" t="s" s="0">
        <v>37</v>
      </c>
      <c r="D254" t="s" s="0">
        <v>46</v>
      </c>
      <c r="E254" t="s" s="0">
        <v>21</v>
      </c>
      <c r="F254" t="s" s="0">
        <v>43</v>
      </c>
      <c r="G254" t="s" s="0">
        <v>135</v>
      </c>
      <c r="H254" t="n" s="0">
        <v>661256.0</v>
      </c>
      <c r="I254" s="0">
        <f>1/COUNTIFS($H$5:$H$308,H254,$J$5:$J$308,1)</f>
      </c>
      <c r="J254" s="0">
        <f>IF(SUBTOTAL(103,H254) = 1, 1, 0)</f>
      </c>
      <c r="K254" t="n" s="0">
        <v>2025.0</v>
      </c>
      <c r="L254" t="s" s="0">
        <v>24</v>
      </c>
      <c r="M254" t="s" s="0">
        <v>40</v>
      </c>
      <c r="N254" t="s" s="0">
        <v>213</v>
      </c>
      <c r="O254" t="s" s="0">
        <v>214</v>
      </c>
      <c r="P254" t="s" s="0">
        <v>36</v>
      </c>
      <c r="Q254" t="n" s="0">
        <v>25.0</v>
      </c>
      <c r="R254" t="s" s="0">
        <v>29</v>
      </c>
    </row>
    <row r="255">
      <c r="A255" t="n" s="3">
        <v>46038.44118055556</v>
      </c>
      <c r="B255" t="s" s="0">
        <v>18</v>
      </c>
      <c r="C255" t="s" s="0">
        <v>37</v>
      </c>
      <c r="D255" t="s" s="0">
        <v>99</v>
      </c>
      <c r="E255" t="s" s="0">
        <v>21</v>
      </c>
      <c r="F255" t="s" s="0">
        <v>87</v>
      </c>
      <c r="G255" t="s" s="0">
        <v>32</v>
      </c>
      <c r="H255" t="n" s="0">
        <v>936112.0</v>
      </c>
      <c r="I255" s="0">
        <f>1/COUNTIFS($H$5:$H$308,H255,$J$5:$J$308,1)</f>
      </c>
      <c r="J255" s="0">
        <f>IF(SUBTOTAL(103,H255) = 1, 1, 0)</f>
      </c>
      <c r="K255" t="n" s="0">
        <v>2025.0</v>
      </c>
      <c r="L255" t="s" s="0">
        <v>24</v>
      </c>
      <c r="M255" t="s" s="0">
        <v>123</v>
      </c>
      <c r="N255" t="s" s="0">
        <v>26</v>
      </c>
      <c r="O255" t="s" s="0">
        <v>124</v>
      </c>
      <c r="P255" t="s" s="0">
        <v>36</v>
      </c>
      <c r="Q255" t="n" s="0">
        <v>19.0</v>
      </c>
      <c r="R255" t="s" s="0">
        <v>29</v>
      </c>
    </row>
    <row r="256">
      <c r="A256" t="n" s="3">
        <v>46038.541666666664</v>
      </c>
      <c r="B256" t="s" s="0">
        <v>113</v>
      </c>
      <c r="C256" t="s" s="0">
        <v>37</v>
      </c>
      <c r="D256" t="s" s="0">
        <v>75</v>
      </c>
      <c r="E256" t="s" s="0">
        <v>21</v>
      </c>
      <c r="F256" t="s" s="0">
        <v>65</v>
      </c>
      <c r="G256" t="s" s="0">
        <v>119</v>
      </c>
      <c r="H256" t="n" s="0">
        <v>1011030.0</v>
      </c>
      <c r="I256" s="0">
        <f>1/COUNTIFS($H$5:$H$308,H256,$J$5:$J$308,1)</f>
      </c>
      <c r="J256" s="0">
        <f>IF(SUBTOTAL(103,H256) = 1, 1, 0)</f>
      </c>
      <c r="K256" t="n" s="0">
        <v>2025.0</v>
      </c>
      <c r="L256" t="s" s="0">
        <v>24</v>
      </c>
      <c r="M256" t="s" s="0">
        <v>114</v>
      </c>
      <c r="N256" t="s" s="0">
        <v>55</v>
      </c>
      <c r="O256" t="s" s="0">
        <v>215</v>
      </c>
      <c r="P256" t="s" s="0">
        <v>36</v>
      </c>
      <c r="Q256" t="n" s="0">
        <v>17.0</v>
      </c>
      <c r="R256" t="s" s="0">
        <v>45</v>
      </c>
    </row>
    <row r="257">
      <c r="A257" t="n" s="3">
        <v>46041.51459490741</v>
      </c>
      <c r="B257" t="s" s="0">
        <v>18</v>
      </c>
      <c r="C257" t="s" s="0">
        <v>37</v>
      </c>
      <c r="D257" t="s" s="0">
        <v>99</v>
      </c>
      <c r="E257" t="s" s="0">
        <v>21</v>
      </c>
      <c r="F257" t="s" s="0">
        <v>67</v>
      </c>
      <c r="G257" t="s" s="0">
        <v>32</v>
      </c>
      <c r="H257" t="n" s="0">
        <v>928563.0</v>
      </c>
      <c r="I257" s="0">
        <f>1/COUNTIFS($H$5:$H$308,H257,$J$5:$J$308,1)</f>
      </c>
      <c r="J257" s="0">
        <f>IF(SUBTOTAL(103,H257) = 1, 1, 0)</f>
      </c>
      <c r="K257" t="n" s="0">
        <v>2025.0</v>
      </c>
      <c r="L257" t="s" s="0">
        <v>24</v>
      </c>
      <c r="M257" t="s" s="0">
        <v>25</v>
      </c>
      <c r="N257" t="s" s="0">
        <v>26</v>
      </c>
      <c r="O257" t="s" s="0">
        <v>120</v>
      </c>
      <c r="P257" t="s" s="0">
        <v>36</v>
      </c>
      <c r="Q257" t="n" s="0">
        <v>19.0</v>
      </c>
      <c r="R257" t="s" s="0">
        <v>29</v>
      </c>
    </row>
    <row r="258">
      <c r="A258" t="n" s="3">
        <v>46041.65048611111</v>
      </c>
      <c r="B258" t="s" s="0">
        <v>18</v>
      </c>
      <c r="C258" t="s" s="0">
        <v>37</v>
      </c>
      <c r="D258" t="s" s="0">
        <v>75</v>
      </c>
      <c r="E258" t="s" s="0">
        <v>21</v>
      </c>
      <c r="F258" t="s" s="0">
        <v>65</v>
      </c>
      <c r="G258" t="s" s="0">
        <v>66</v>
      </c>
      <c r="H258" t="n" s="0">
        <v>1021875.0</v>
      </c>
      <c r="I258" s="0">
        <f>1/COUNTIFS($H$5:$H$308,H258,$J$5:$J$308,1)</f>
      </c>
      <c r="J258" s="0">
        <f>IF(SUBTOTAL(103,H258) = 1, 1, 0)</f>
      </c>
      <c r="K258" t="n" s="0">
        <v>2025.0</v>
      </c>
      <c r="L258" t="s" s="0">
        <v>24</v>
      </c>
      <c r="M258" t="s" s="0">
        <v>33</v>
      </c>
      <c r="N258" t="s" s="0">
        <v>55</v>
      </c>
      <c r="O258" t="s" s="0">
        <v>44</v>
      </c>
      <c r="P258" t="s" s="0">
        <v>36</v>
      </c>
      <c r="Q258" t="n" s="0">
        <v>20.0</v>
      </c>
      <c r="R258" t="s" s="0">
        <v>29</v>
      </c>
    </row>
    <row r="259">
      <c r="A259" t="n" s="3">
        <v>46042.645833333336</v>
      </c>
      <c r="B259" t="s" s="0">
        <v>18</v>
      </c>
      <c r="C259" t="s" s="0">
        <v>37</v>
      </c>
      <c r="D259" t="s" s="0">
        <v>75</v>
      </c>
      <c r="E259" t="s" s="0">
        <v>21</v>
      </c>
      <c r="F259" t="s" s="0">
        <v>191</v>
      </c>
      <c r="G259" t="s" s="0">
        <v>118</v>
      </c>
      <c r="H259" t="n" s="0">
        <v>939271.0</v>
      </c>
      <c r="I259" s="0">
        <f>1/COUNTIFS($H$5:$H$308,H259,$J$5:$J$308,1)</f>
      </c>
      <c r="J259" s="0">
        <f>IF(SUBTOTAL(103,H259) = 1, 1, 0)</f>
      </c>
      <c r="K259" t="n" s="0">
        <v>2025.0</v>
      </c>
      <c r="L259" t="s" s="0">
        <v>24</v>
      </c>
      <c r="M259" t="s" s="0">
        <v>33</v>
      </c>
      <c r="N259" t="s" s="0">
        <v>26</v>
      </c>
      <c r="O259" t="s" s="0">
        <v>85</v>
      </c>
      <c r="P259" t="s" s="0">
        <v>36</v>
      </c>
      <c r="Q259" t="n" s="0">
        <v>20.0</v>
      </c>
      <c r="R259" t="s" s="0">
        <v>29</v>
      </c>
    </row>
    <row r="260">
      <c r="A260" t="n" s="3">
        <v>46045.515</v>
      </c>
      <c r="B260" t="s" s="0">
        <v>100</v>
      </c>
      <c r="C260" t="s" s="0">
        <v>37</v>
      </c>
      <c r="D260" t="s" s="0">
        <v>101</v>
      </c>
      <c r="E260" t="s" s="0">
        <v>21</v>
      </c>
      <c r="F260" t="s" s="0">
        <v>52</v>
      </c>
      <c r="G260" t="s" s="0">
        <v>126</v>
      </c>
      <c r="H260" t="n" s="0">
        <v>1013835.0</v>
      </c>
      <c r="I260" s="0">
        <f>1/COUNTIFS($H$5:$H$308,H260,$J$5:$J$308,1)</f>
      </c>
      <c r="J260" s="0">
        <f>IF(SUBTOTAL(103,H260) = 1, 1, 0)</f>
      </c>
      <c r="K260" t="n" s="0">
        <v>2025.0</v>
      </c>
      <c r="L260" t="s" s="0">
        <v>24</v>
      </c>
      <c r="M260" t="s" s="0">
        <v>102</v>
      </c>
      <c r="N260" t="s" s="0">
        <v>55</v>
      </c>
      <c r="O260" t="s" s="0">
        <v>129</v>
      </c>
      <c r="P260" t="s" s="0">
        <v>36</v>
      </c>
      <c r="Q260" t="n" s="0">
        <v>18.0</v>
      </c>
      <c r="R260" t="s" s="0">
        <v>29</v>
      </c>
    </row>
    <row r="261">
      <c r="A261" t="n" s="3">
        <v>46045.65274305556</v>
      </c>
      <c r="B261" t="s" s="0">
        <v>100</v>
      </c>
      <c r="C261" t="s" s="0">
        <v>37</v>
      </c>
      <c r="D261" t="s" s="0">
        <v>101</v>
      </c>
      <c r="E261" t="s" s="0">
        <v>21</v>
      </c>
      <c r="F261" t="s" s="0">
        <v>65</v>
      </c>
      <c r="G261" t="s" s="0">
        <v>79</v>
      </c>
      <c r="H261" t="n" s="0">
        <v>1004003.0</v>
      </c>
      <c r="I261" s="0">
        <f>1/COUNTIFS($H$5:$H$308,H261,$J$5:$J$308,1)</f>
      </c>
      <c r="J261" s="0">
        <f>IF(SUBTOTAL(103,H261) = 1, 1, 0)</f>
      </c>
      <c r="K261" t="n" s="0">
        <v>2025.0</v>
      </c>
      <c r="L261" t="s" s="0">
        <v>24</v>
      </c>
      <c r="M261" t="s" s="0">
        <v>102</v>
      </c>
      <c r="N261" t="s" s="0">
        <v>55</v>
      </c>
      <c r="O261" t="s" s="0">
        <v>166</v>
      </c>
      <c r="P261" t="s" s="0">
        <v>36</v>
      </c>
      <c r="Q261" t="n" s="0">
        <v>21.0</v>
      </c>
      <c r="R261" t="s" s="0">
        <v>29</v>
      </c>
    </row>
    <row r="262">
      <c r="A262" t="n" s="3">
        <v>46048.52726851852</v>
      </c>
      <c r="B262" t="s" s="0">
        <v>18</v>
      </c>
      <c r="C262" t="s" s="0">
        <v>37</v>
      </c>
      <c r="D262" t="s" s="0">
        <v>99</v>
      </c>
      <c r="E262" t="s" s="0">
        <v>21</v>
      </c>
      <c r="F262" t="s" s="0">
        <v>31</v>
      </c>
      <c r="G262" t="s" s="0">
        <v>32</v>
      </c>
      <c r="H262" t="n" s="0">
        <v>845421.0</v>
      </c>
      <c r="I262" s="0">
        <f>1/COUNTIFS($H$5:$H$308,H262,$J$5:$J$308,1)</f>
      </c>
      <c r="J262" s="0">
        <f>IF(SUBTOTAL(103,H262) = 1, 1, 0)</f>
      </c>
      <c r="K262" t="n" s="0">
        <v>2025.0</v>
      </c>
      <c r="L262" t="s" s="0">
        <v>24</v>
      </c>
      <c r="M262" t="s" s="0">
        <v>25</v>
      </c>
      <c r="N262" t="s" s="0">
        <v>34</v>
      </c>
      <c r="O262" t="s" s="0">
        <v>27</v>
      </c>
      <c r="P262" t="s" s="0">
        <v>28</v>
      </c>
      <c r="Q262" t="n" s="0">
        <v>20.0</v>
      </c>
      <c r="R262" t="s" s="0">
        <v>29</v>
      </c>
    </row>
    <row r="263">
      <c r="A263" t="n" s="3">
        <v>46049.64643518518</v>
      </c>
      <c r="B263" t="s" s="0">
        <v>18</v>
      </c>
      <c r="C263" t="s" s="0">
        <v>37</v>
      </c>
      <c r="D263" t="s" s="0">
        <v>75</v>
      </c>
      <c r="E263" t="s" s="0">
        <v>21</v>
      </c>
      <c r="F263" t="s" s="0">
        <v>91</v>
      </c>
      <c r="G263" t="s" s="0">
        <v>32</v>
      </c>
      <c r="H263" t="n" s="0">
        <v>942177.0</v>
      </c>
      <c r="I263" s="0">
        <f>1/COUNTIFS($H$5:$H$308,H263,$J$5:$J$308,1)</f>
      </c>
      <c r="J263" s="0">
        <f>IF(SUBTOTAL(103,H263) = 1, 1, 0)</f>
      </c>
      <c r="K263" t="n" s="0">
        <v>2025.0</v>
      </c>
      <c r="L263" t="s" s="0">
        <v>24</v>
      </c>
      <c r="M263" t="s" s="0">
        <v>33</v>
      </c>
      <c r="N263" t="s" s="0">
        <v>26</v>
      </c>
      <c r="O263" t="s" s="0">
        <v>85</v>
      </c>
      <c r="P263" t="s" s="0">
        <v>36</v>
      </c>
      <c r="Q263" t="n" s="0">
        <v>20.0</v>
      </c>
      <c r="R263" t="s" s="0">
        <v>29</v>
      </c>
    </row>
    <row r="264">
      <c r="A264" t="n" s="3">
        <v>46052.5659375</v>
      </c>
      <c r="B264" t="s" s="0">
        <v>100</v>
      </c>
      <c r="C264" t="s" s="0">
        <v>37</v>
      </c>
      <c r="D264" t="s" s="0">
        <v>101</v>
      </c>
      <c r="E264" t="s" s="0">
        <v>21</v>
      </c>
      <c r="F264" t="s" s="0">
        <v>91</v>
      </c>
      <c r="G264" t="s" s="0">
        <v>32</v>
      </c>
      <c r="H264" t="n" s="0">
        <v>857292.0</v>
      </c>
      <c r="I264" s="0">
        <f>1/COUNTIFS($H$5:$H$308,H264,$J$5:$J$308,1)</f>
      </c>
      <c r="J264" s="0">
        <f>IF(SUBTOTAL(103,H264) = 1, 1, 0)</f>
      </c>
      <c r="K264" t="n" s="0">
        <v>2025.0</v>
      </c>
      <c r="L264" t="s" s="0">
        <v>24</v>
      </c>
      <c r="M264" t="s" s="0">
        <v>102</v>
      </c>
      <c r="N264" t="s" s="0">
        <v>34</v>
      </c>
      <c r="O264" t="s" s="0">
        <v>129</v>
      </c>
      <c r="P264" t="s" s="0">
        <v>36</v>
      </c>
      <c r="Q264" t="n" s="0">
        <v>21.0</v>
      </c>
      <c r="R264" t="s" s="0">
        <v>29</v>
      </c>
    </row>
    <row r="265">
      <c r="A265" t="n" s="3">
        <v>46055.528136574074</v>
      </c>
      <c r="B265" t="s" s="0">
        <v>18</v>
      </c>
      <c r="C265" t="s" s="0">
        <v>37</v>
      </c>
      <c r="D265" t="s" s="0">
        <v>99</v>
      </c>
      <c r="E265" t="s" s="0">
        <v>21</v>
      </c>
      <c r="F265" t="s" s="0">
        <v>31</v>
      </c>
      <c r="G265" t="s" s="0">
        <v>76</v>
      </c>
      <c r="H265" t="n" s="0">
        <v>913177.0</v>
      </c>
      <c r="I265" s="0">
        <f>1/COUNTIFS($H$5:$H$308,H265,$J$5:$J$308,1)</f>
      </c>
      <c r="J265" s="0">
        <f>IF(SUBTOTAL(103,H265) = 1, 1, 0)</f>
      </c>
      <c r="K265" t="n" s="0">
        <v>2025.0</v>
      </c>
      <c r="L265" t="s" s="0">
        <v>24</v>
      </c>
      <c r="M265" t="s" s="0">
        <v>33</v>
      </c>
      <c r="N265" t="s" s="0">
        <v>26</v>
      </c>
      <c r="O265" t="s" s="0">
        <v>35</v>
      </c>
      <c r="P265" t="s" s="0">
        <v>36</v>
      </c>
      <c r="Q265" t="n" s="0">
        <v>19.0</v>
      </c>
      <c r="R265" t="s" s="0">
        <v>29</v>
      </c>
    </row>
    <row r="266">
      <c r="A266" t="n" s="3">
        <v>46055.645833333336</v>
      </c>
      <c r="B266" t="s" s="0">
        <v>18</v>
      </c>
      <c r="C266" t="s" s="0">
        <v>37</v>
      </c>
      <c r="D266" t="s" s="0">
        <v>75</v>
      </c>
      <c r="E266" t="s" s="0">
        <v>21</v>
      </c>
      <c r="F266" t="s" s="0">
        <v>52</v>
      </c>
      <c r="G266" t="s" s="0">
        <v>86</v>
      </c>
      <c r="H266" t="n" s="0">
        <v>794107.0</v>
      </c>
      <c r="I266" s="0">
        <f>1/COUNTIFS($H$5:$H$308,H266,$J$5:$J$308,1)</f>
      </c>
      <c r="J266" s="0">
        <f>IF(SUBTOTAL(103,H266) = 1, 1, 0)</f>
      </c>
      <c r="K266" t="n" s="0">
        <v>2025.0</v>
      </c>
      <c r="L266" t="s" s="0">
        <v>24</v>
      </c>
      <c r="M266" t="s" s="0">
        <v>25</v>
      </c>
      <c r="N266" t="s" s="0">
        <v>64</v>
      </c>
      <c r="O266" t="s" s="0">
        <v>27</v>
      </c>
      <c r="P266" t="s" s="0">
        <v>36</v>
      </c>
      <c r="Q266" t="n" s="0">
        <v>21.0</v>
      </c>
      <c r="R266" t="s" s="0">
        <v>196</v>
      </c>
    </row>
    <row r="267">
      <c r="A267" t="n" s="3">
        <v>46056.41563657407</v>
      </c>
      <c r="B267" t="s" s="0">
        <v>18</v>
      </c>
      <c r="C267" t="s" s="0">
        <v>37</v>
      </c>
      <c r="D267" t="s" s="0">
        <v>75</v>
      </c>
      <c r="E267" t="s" s="0">
        <v>21</v>
      </c>
      <c r="F267" t="s" s="0">
        <v>52</v>
      </c>
      <c r="G267" t="s" s="0">
        <v>86</v>
      </c>
      <c r="H267" t="n" s="0">
        <v>1046616.0</v>
      </c>
      <c r="I267" s="0">
        <f>1/COUNTIFS($H$5:$H$308,H267,$J$5:$J$308,1)</f>
      </c>
      <c r="J267" s="0">
        <f>IF(SUBTOTAL(103,H267) = 1, 1, 0)</f>
      </c>
      <c r="K267" t="n" s="0">
        <v>2025.0</v>
      </c>
      <c r="L267" t="s" s="0">
        <v>54</v>
      </c>
      <c r="M267" t="s" s="0">
        <v>54</v>
      </c>
      <c r="N267" t="s" s="0">
        <v>216</v>
      </c>
      <c r="O267" t="s" s="0">
        <v>19</v>
      </c>
      <c r="P267" t="s" s="0">
        <v>36</v>
      </c>
      <c r="Q267" t="n" s="0">
        <v>21.0</v>
      </c>
      <c r="R267" t="s" s="0">
        <v>29</v>
      </c>
    </row>
    <row r="268">
      <c r="A268" t="n" s="3">
        <v>46056.64821759259</v>
      </c>
      <c r="B268" t="s" s="0">
        <v>18</v>
      </c>
      <c r="C268" t="s" s="0">
        <v>37</v>
      </c>
      <c r="D268" t="s" s="0">
        <v>75</v>
      </c>
      <c r="E268" t="s" s="0">
        <v>21</v>
      </c>
      <c r="F268" t="s" s="0">
        <v>65</v>
      </c>
      <c r="G268" t="s" s="0">
        <v>119</v>
      </c>
      <c r="H268" t="n" s="0">
        <v>1031414.0</v>
      </c>
      <c r="I268" s="0">
        <f>1/COUNTIFS($H$5:$H$308,H268,$J$5:$J$308,1)</f>
      </c>
      <c r="J268" s="0">
        <f>IF(SUBTOTAL(103,H268) = 1, 1, 0)</f>
      </c>
      <c r="K268" t="n" s="0">
        <v>2025.0</v>
      </c>
      <c r="L268" t="s" s="0">
        <v>24</v>
      </c>
      <c r="M268" t="s" s="0">
        <v>25</v>
      </c>
      <c r="N268" t="s" s="0">
        <v>55</v>
      </c>
      <c r="O268" t="s" s="0">
        <v>120</v>
      </c>
      <c r="P268" t="s" s="0">
        <v>36</v>
      </c>
      <c r="Q268" t="n" s="0">
        <v>17.0</v>
      </c>
      <c r="R268" t="s" s="0">
        <v>104</v>
      </c>
    </row>
    <row r="269">
      <c r="A269" t="n" s="3">
        <v>46057.61356481481</v>
      </c>
      <c r="B269" t="s" s="0">
        <v>18</v>
      </c>
      <c r="C269" t="s" s="0">
        <v>37</v>
      </c>
      <c r="D269" t="s" s="0">
        <v>99</v>
      </c>
      <c r="E269" t="s" s="0">
        <v>21</v>
      </c>
      <c r="F269" t="s" s="0">
        <v>65</v>
      </c>
      <c r="G269" t="s" s="0">
        <v>32</v>
      </c>
      <c r="H269" t="n" s="0">
        <v>883820.0</v>
      </c>
      <c r="I269" s="0">
        <f>1/COUNTIFS($H$5:$H$308,H269,$J$5:$J$308,1)</f>
      </c>
      <c r="J269" s="0">
        <f>IF(SUBTOTAL(103,H269) = 1, 1, 0)</f>
      </c>
      <c r="K269" t="n" s="0">
        <v>2023.0</v>
      </c>
      <c r="L269" t="s" s="0">
        <v>77</v>
      </c>
      <c r="M269" t="s" s="0">
        <v>78</v>
      </c>
      <c r="N269" t="s" s="0">
        <v>55</v>
      </c>
      <c r="O269" t="s" s="0">
        <v>19</v>
      </c>
      <c r="P269" t="s" s="0">
        <v>36</v>
      </c>
      <c r="Q269" t="n" s="0">
        <v>21.0</v>
      </c>
      <c r="R269" t="s" s="0">
        <v>29</v>
      </c>
    </row>
    <row r="270">
      <c r="A270" t="n" s="3">
        <v>46059.46949074074</v>
      </c>
      <c r="B270" t="s" s="0">
        <v>18</v>
      </c>
      <c r="C270" t="s" s="0">
        <v>37</v>
      </c>
      <c r="D270" t="s" s="0">
        <v>46</v>
      </c>
      <c r="E270" t="s" s="0">
        <v>21</v>
      </c>
      <c r="F270" t="s" s="0">
        <v>38</v>
      </c>
      <c r="G270" t="s" s="0">
        <v>217</v>
      </c>
      <c r="H270" t="n" s="0">
        <v>911995.0</v>
      </c>
      <c r="I270" s="0">
        <f>1/COUNTIFS($H$5:$H$308,H270,$J$5:$J$308,1)</f>
      </c>
      <c r="J270" s="0">
        <f>IF(SUBTOTAL(103,H270) = 1, 1, 0)</f>
      </c>
      <c r="K270" t="n" s="0">
        <v>2025.0</v>
      </c>
      <c r="L270" t="s" s="0">
        <v>24</v>
      </c>
      <c r="M270" t="s" s="0">
        <v>69</v>
      </c>
      <c r="N270" t="s" s="0">
        <v>26</v>
      </c>
      <c r="O270" t="s" s="0">
        <v>187</v>
      </c>
      <c r="P270" t="s" s="0">
        <v>28</v>
      </c>
      <c r="Q270" t="n" s="0">
        <v>19.0</v>
      </c>
      <c r="R270" t="s" s="0">
        <v>29</v>
      </c>
    </row>
    <row r="271">
      <c r="A271" t="n" s="3">
        <v>46059.46875</v>
      </c>
      <c r="B271" t="s" s="0">
        <v>113</v>
      </c>
      <c r="C271" t="s" s="0">
        <v>37</v>
      </c>
      <c r="D271" t="s" s="0">
        <v>75</v>
      </c>
      <c r="E271" t="s" s="0">
        <v>21</v>
      </c>
      <c r="F271" t="s" s="0">
        <v>65</v>
      </c>
      <c r="G271" t="s" s="0">
        <v>172</v>
      </c>
      <c r="H271" t="n" s="0">
        <v>1022132.0</v>
      </c>
      <c r="I271" s="0">
        <f>1/COUNTIFS($H$5:$H$308,H271,$J$5:$J$308,1)</f>
      </c>
      <c r="J271" s="0">
        <f>IF(SUBTOTAL(103,H271) = 1, 1, 0)</f>
      </c>
      <c r="K271" t="n" s="0">
        <v>2025.0</v>
      </c>
      <c r="L271" t="s" s="0">
        <v>24</v>
      </c>
      <c r="M271" t="s" s="0">
        <v>114</v>
      </c>
      <c r="N271" t="s" s="0">
        <v>55</v>
      </c>
      <c r="O271" t="s" s="0">
        <v>115</v>
      </c>
      <c r="P271" t="s" s="0">
        <v>36</v>
      </c>
      <c r="Q271" t="n" s="0">
        <v>19.0</v>
      </c>
      <c r="R271" t="s" s="0">
        <v>29</v>
      </c>
    </row>
    <row r="272">
      <c r="A272" t="n" s="3">
        <v>46064.5</v>
      </c>
      <c r="B272" t="s" s="0">
        <v>113</v>
      </c>
      <c r="C272" t="s" s="0">
        <v>171</v>
      </c>
      <c r="D272" t="s" s="0">
        <v>75</v>
      </c>
      <c r="E272" t="s" s="0">
        <v>21</v>
      </c>
      <c r="F272" t="s" s="0">
        <v>67</v>
      </c>
      <c r="G272" t="s" s="0">
        <v>96</v>
      </c>
      <c r="H272" t="n" s="0">
        <v>1007043.0</v>
      </c>
      <c r="I272" s="0">
        <f>1/COUNTIFS($H$5:$H$308,H272,$J$5:$J$308,1)</f>
      </c>
      <c r="J272" s="0">
        <f>IF(SUBTOTAL(103,H272) = 1, 1, 0)</f>
      </c>
      <c r="K272" t="n" s="0">
        <v>2025.0</v>
      </c>
      <c r="L272" t="s" s="0">
        <v>24</v>
      </c>
      <c r="M272" t="s" s="0">
        <v>131</v>
      </c>
      <c r="N272" t="s" s="0">
        <v>55</v>
      </c>
      <c r="O272" t="s" s="0">
        <v>61</v>
      </c>
      <c r="P272" t="s" s="0">
        <v>36</v>
      </c>
      <c r="Q272" t="n" s="0">
        <v>20.0</v>
      </c>
      <c r="R272" t="s" s="0">
        <v>218</v>
      </c>
    </row>
    <row r="273">
      <c r="A273" t="n" s="3">
        <v>46064.65540509259</v>
      </c>
      <c r="B273" t="s" s="0">
        <v>18</v>
      </c>
      <c r="C273" t="s" s="0">
        <v>37</v>
      </c>
      <c r="D273" t="s" s="0">
        <v>99</v>
      </c>
      <c r="E273" t="s" s="0">
        <v>21</v>
      </c>
      <c r="F273" t="s" s="0">
        <v>52</v>
      </c>
      <c r="G273" t="s" s="0">
        <v>86</v>
      </c>
      <c r="H273" t="n" s="0">
        <v>1035008.0</v>
      </c>
      <c r="I273" s="0">
        <f>1/COUNTIFS($H$5:$H$308,H273,$J$5:$J$308,1)</f>
      </c>
      <c r="J273" s="0">
        <f>IF(SUBTOTAL(103,H273) = 1, 1, 0)</f>
      </c>
      <c r="K273" t="n" s="0">
        <v>2025.0</v>
      </c>
      <c r="L273" t="s" s="0">
        <v>24</v>
      </c>
      <c r="M273" t="s" s="0">
        <v>123</v>
      </c>
      <c r="N273" t="s" s="0">
        <v>55</v>
      </c>
      <c r="O273" t="s" s="0">
        <v>154</v>
      </c>
      <c r="P273" t="s" s="0">
        <v>36</v>
      </c>
      <c r="Q273" t="n" s="0">
        <v>18.0</v>
      </c>
      <c r="R273" t="s" s="0">
        <v>219</v>
      </c>
    </row>
    <row r="274">
      <c r="A274" t="n" s="3">
        <v>46069.51577546296</v>
      </c>
      <c r="B274" t="s" s="0">
        <v>18</v>
      </c>
      <c r="C274" t="s" s="0">
        <v>37</v>
      </c>
      <c r="D274" t="s" s="0">
        <v>99</v>
      </c>
      <c r="E274" t="s" s="0">
        <v>21</v>
      </c>
      <c r="F274" t="s" s="0">
        <v>117</v>
      </c>
      <c r="G274" t="s" s="0">
        <v>118</v>
      </c>
      <c r="H274" t="n" s="0">
        <v>1006703.0</v>
      </c>
      <c r="I274" s="0">
        <f>1/COUNTIFS($H$5:$H$308,H274,$J$5:$J$308,1)</f>
      </c>
      <c r="J274" s="0">
        <f>IF(SUBTOTAL(103,H274) = 1, 1, 0)</f>
      </c>
      <c r="K274" t="n" s="0">
        <v>2025.0</v>
      </c>
      <c r="L274" t="s" s="0">
        <v>24</v>
      </c>
      <c r="M274" t="s" s="0">
        <v>33</v>
      </c>
      <c r="N274" t="s" s="0">
        <v>55</v>
      </c>
      <c r="O274" t="s" s="0">
        <v>85</v>
      </c>
      <c r="P274" t="s" s="0">
        <v>36</v>
      </c>
      <c r="Q274" t="n" s="0">
        <v>18.0</v>
      </c>
      <c r="R274" t="s" s="0">
        <v>220</v>
      </c>
    </row>
    <row r="275">
      <c r="A275" t="n" s="3">
        <v>46070.46648148148</v>
      </c>
      <c r="B275" t="s" s="0">
        <v>18</v>
      </c>
      <c r="C275" t="s" s="0">
        <v>37</v>
      </c>
      <c r="D275" t="s" s="0">
        <v>30</v>
      </c>
      <c r="E275" t="s" s="0">
        <v>21</v>
      </c>
      <c r="F275" t="s" s="0">
        <v>22</v>
      </c>
      <c r="G275" t="s" s="0">
        <v>32</v>
      </c>
      <c r="H275" t="n" s="0">
        <v>910195.0</v>
      </c>
      <c r="I275" s="0">
        <f>1/COUNTIFS($H$5:$H$308,H275,$J$5:$J$308,1)</f>
      </c>
      <c r="J275" s="0">
        <f>IF(SUBTOTAL(103,H275) = 1, 1, 0)</f>
      </c>
      <c r="K275" t="n" s="0">
        <v>2025.0</v>
      </c>
      <c r="L275" t="s" s="0">
        <v>24</v>
      </c>
      <c r="M275" t="s" s="0">
        <v>33</v>
      </c>
      <c r="N275" t="s" s="0">
        <v>26</v>
      </c>
      <c r="O275" t="s" s="0">
        <v>35</v>
      </c>
      <c r="P275" t="s" s="0">
        <v>36</v>
      </c>
      <c r="Q275" t="n" s="0">
        <v>20.0</v>
      </c>
      <c r="R275" t="s" s="0">
        <v>29</v>
      </c>
    </row>
    <row r="276">
      <c r="A276" t="n" s="3">
        <v>46083.64471064815</v>
      </c>
      <c r="B276" t="s" s="0">
        <v>18</v>
      </c>
      <c r="C276" t="s" s="0">
        <v>51</v>
      </c>
      <c r="D276" t="s" s="0">
        <v>75</v>
      </c>
      <c r="E276" t="s" s="0">
        <v>21</v>
      </c>
      <c r="F276" t="s" s="0">
        <v>191</v>
      </c>
      <c r="G276" t="s" s="0">
        <v>118</v>
      </c>
      <c r="H276" t="n" s="0">
        <v>1043314.0</v>
      </c>
      <c r="I276" s="0">
        <f>1/COUNTIFS($H$5:$H$308,H276,$J$5:$J$308,1)</f>
      </c>
      <c r="J276" s="0">
        <f>IF(SUBTOTAL(103,H276) = 1, 1, 0)</f>
      </c>
      <c r="K276" t="n" s="0">
        <v>2025.0</v>
      </c>
      <c r="L276" t="s" s="0">
        <v>77</v>
      </c>
      <c r="M276" t="s" s="0">
        <v>78</v>
      </c>
      <c r="N276" t="s" s="0">
        <v>221</v>
      </c>
      <c r="O276" t="s" s="0">
        <v>19</v>
      </c>
      <c r="P276" t="s" s="0">
        <v>36</v>
      </c>
      <c r="Q276" t="n" s="0">
        <v>21.0</v>
      </c>
      <c r="R276" t="s" s="0">
        <v>29</v>
      </c>
    </row>
    <row r="277">
      <c r="A277" t="n" s="3">
        <v>46083.738483796296</v>
      </c>
      <c r="B277" t="s" s="0">
        <v>100</v>
      </c>
      <c r="C277" t="s" s="0">
        <v>37</v>
      </c>
      <c r="D277" t="s" s="0">
        <v>101</v>
      </c>
      <c r="E277" t="s" s="0">
        <v>21</v>
      </c>
      <c r="F277" t="s" s="0">
        <v>31</v>
      </c>
      <c r="G277" t="s" s="0">
        <v>73</v>
      </c>
      <c r="H277" t="n" s="0">
        <v>801936.0</v>
      </c>
      <c r="I277" s="0">
        <f>1/COUNTIFS($H$5:$H$308,H277,$J$5:$J$308,1)</f>
      </c>
      <c r="J277" s="0">
        <f>IF(SUBTOTAL(103,H277) = 1, 1, 0)</f>
      </c>
      <c r="K277" t="n" s="0">
        <v>2025.0</v>
      </c>
      <c r="L277" t="s" s="0">
        <v>24</v>
      </c>
      <c r="M277" t="s" s="0">
        <v>97</v>
      </c>
      <c r="N277" t="s" s="0">
        <v>64</v>
      </c>
      <c r="O277" t="s" s="0">
        <v>112</v>
      </c>
      <c r="P277" t="s" s="0">
        <v>36</v>
      </c>
      <c r="Q277" t="n" s="0">
        <v>48.0</v>
      </c>
      <c r="R277" t="s" s="0">
        <v>196</v>
      </c>
    </row>
    <row r="278">
      <c r="A278" t="n" s="3">
        <v>46086.672268518516</v>
      </c>
      <c r="B278" t="s" s="0">
        <v>18</v>
      </c>
      <c r="C278" t="s" s="0">
        <v>37</v>
      </c>
      <c r="D278" t="s" s="0">
        <v>30</v>
      </c>
      <c r="E278" t="s" s="0">
        <v>21</v>
      </c>
      <c r="F278" t="s" s="0">
        <v>65</v>
      </c>
      <c r="G278" t="s" s="0">
        <v>222</v>
      </c>
      <c r="H278" t="n" s="0">
        <v>684236.0</v>
      </c>
      <c r="I278" s="0">
        <f>1/COUNTIFS($H$5:$H$308,H278,$J$5:$J$308,1)</f>
      </c>
      <c r="J278" s="0">
        <f>IF(SUBTOTAL(103,H278) = 1, 1, 0)</f>
      </c>
      <c r="K278" t="n" s="0">
        <v>2025.0</v>
      </c>
      <c r="L278" t="s" s="0">
        <v>24</v>
      </c>
      <c r="M278" t="s" s="0">
        <v>69</v>
      </c>
      <c r="N278" t="s" s="0">
        <v>70</v>
      </c>
      <c r="O278" t="s" s="0">
        <v>71</v>
      </c>
      <c r="P278" t="s" s="0">
        <v>36</v>
      </c>
      <c r="Q278" t="n" s="0">
        <v>22.0</v>
      </c>
      <c r="R278" t="s" s="0">
        <v>188</v>
      </c>
    </row>
    <row r="279">
      <c r="A279" t="n" s="3">
        <v>46087.447916666664</v>
      </c>
      <c r="B279" t="s" s="0">
        <v>113</v>
      </c>
      <c r="C279" t="s" s="0">
        <v>37</v>
      </c>
      <c r="D279" t="s" s="0">
        <v>75</v>
      </c>
      <c r="E279" t="s" s="0">
        <v>21</v>
      </c>
      <c r="F279" t="s" s="0">
        <v>91</v>
      </c>
      <c r="G279" t="s" s="0">
        <v>136</v>
      </c>
      <c r="H279" t="n" s="0">
        <v>1024640.0</v>
      </c>
      <c r="I279" s="0">
        <f>1/COUNTIFS($H$5:$H$308,H279,$J$5:$J$308,1)</f>
      </c>
      <c r="J279" s="0">
        <f>IF(SUBTOTAL(103,H279) = 1, 1, 0)</f>
      </c>
      <c r="K279" t="n" s="0">
        <v>2025.0</v>
      </c>
      <c r="L279" t="s" s="0">
        <v>24</v>
      </c>
      <c r="M279" t="s" s="0">
        <v>131</v>
      </c>
      <c r="N279" t="s" s="0">
        <v>55</v>
      </c>
      <c r="O279" t="s" s="0">
        <v>61</v>
      </c>
      <c r="P279" t="s" s="0">
        <v>28</v>
      </c>
      <c r="Q279" t="n" s="0">
        <v>20.0</v>
      </c>
      <c r="R279" t="s" s="0">
        <v>29</v>
      </c>
    </row>
    <row r="280">
      <c r="A280" t="n" s="3">
        <v>46087.584710648145</v>
      </c>
      <c r="B280" t="s" s="0">
        <v>100</v>
      </c>
      <c r="C280" t="s" s="0">
        <v>37</v>
      </c>
      <c r="D280" t="s" s="0">
        <v>101</v>
      </c>
      <c r="E280" t="s" s="0">
        <v>21</v>
      </c>
      <c r="F280" t="s" s="0">
        <v>52</v>
      </c>
      <c r="G280" t="s" s="0">
        <v>53</v>
      </c>
      <c r="H280" t="n" s="0">
        <v>1007029.0</v>
      </c>
      <c r="I280" s="0">
        <f>1/COUNTIFS($H$5:$H$308,H280,$J$5:$J$308,1)</f>
      </c>
      <c r="J280" s="0">
        <f>IF(SUBTOTAL(103,H280) = 1, 1, 0)</f>
      </c>
      <c r="K280" t="n" s="0">
        <v>2025.0</v>
      </c>
      <c r="L280" t="s" s="0">
        <v>24</v>
      </c>
      <c r="M280" t="s" s="0">
        <v>102</v>
      </c>
      <c r="N280" t="s" s="0">
        <v>55</v>
      </c>
      <c r="O280" t="s" s="0">
        <v>145</v>
      </c>
      <c r="P280" t="s" s="0">
        <v>36</v>
      </c>
      <c r="Q280" t="n" s="0">
        <v>19.0</v>
      </c>
      <c r="R280" t="s" s="0">
        <v>29</v>
      </c>
    </row>
    <row r="281">
      <c r="A281" t="n" s="3">
        <v>46087.61853009259</v>
      </c>
      <c r="B281" t="s" s="0">
        <v>100</v>
      </c>
      <c r="C281" t="s" s="0">
        <v>37</v>
      </c>
      <c r="D281" t="s" s="0">
        <v>101</v>
      </c>
      <c r="E281" t="s" s="0">
        <v>21</v>
      </c>
      <c r="F281" t="s" s="0">
        <v>22</v>
      </c>
      <c r="G281" t="s" s="0">
        <v>32</v>
      </c>
      <c r="H281" t="n" s="0">
        <v>1005880.0</v>
      </c>
      <c r="I281" s="0">
        <f>1/COUNTIFS($H$5:$H$308,H281,$J$5:$J$308,1)</f>
      </c>
      <c r="J281" s="0">
        <f>IF(SUBTOTAL(103,H281) = 1, 1, 0)</f>
      </c>
      <c r="K281" t="n" s="0">
        <v>2025.0</v>
      </c>
      <c r="L281" t="s" s="0">
        <v>24</v>
      </c>
      <c r="M281" t="s" s="0">
        <v>102</v>
      </c>
      <c r="N281" t="s" s="0">
        <v>55</v>
      </c>
      <c r="O281" t="s" s="0">
        <v>145</v>
      </c>
      <c r="P281" t="s" s="0">
        <v>36</v>
      </c>
      <c r="Q281" t="n" s="0">
        <v>18.0</v>
      </c>
      <c r="R281" t="s" s="0">
        <v>29</v>
      </c>
    </row>
    <row r="282">
      <c r="A282" t="n" s="3">
        <v>46090.449421296296</v>
      </c>
      <c r="B282" t="s" s="0">
        <v>18</v>
      </c>
      <c r="C282" t="s" s="0">
        <v>37</v>
      </c>
      <c r="D282" t="s" s="0">
        <v>99</v>
      </c>
      <c r="E282" t="s" s="0">
        <v>21</v>
      </c>
      <c r="F282" t="s" s="0">
        <v>38</v>
      </c>
      <c r="G282" t="s" s="0">
        <v>32</v>
      </c>
      <c r="H282" t="n" s="0">
        <v>958489.0</v>
      </c>
      <c r="I282" s="0">
        <f>1/COUNTIFS($H$5:$H$308,H282,$J$5:$J$308,1)</f>
      </c>
      <c r="J282" s="0">
        <f>IF(SUBTOTAL(103,H282) = 1, 1, 0)</f>
      </c>
      <c r="K282" t="n" s="0">
        <v>2025.0</v>
      </c>
      <c r="L282" t="s" s="0">
        <v>24</v>
      </c>
      <c r="M282" t="s" s="0">
        <v>33</v>
      </c>
      <c r="N282" t="s" s="0">
        <v>26</v>
      </c>
      <c r="O282" t="s" s="0">
        <v>35</v>
      </c>
      <c r="P282" t="s" s="0">
        <v>36</v>
      </c>
      <c r="Q282" t="n" s="0">
        <v>19.0</v>
      </c>
      <c r="R282" t="s" s="0">
        <v>29</v>
      </c>
    </row>
    <row r="283">
      <c r="A283" t="n" s="3">
        <v>46090.581192129626</v>
      </c>
      <c r="B283" t="s" s="0">
        <v>18</v>
      </c>
      <c r="C283" t="s" s="0">
        <v>37</v>
      </c>
      <c r="D283" t="s" s="0">
        <v>99</v>
      </c>
      <c r="E283" t="s" s="0">
        <v>21</v>
      </c>
      <c r="F283" t="s" s="0">
        <v>22</v>
      </c>
      <c r="G283" t="s" s="0">
        <v>128</v>
      </c>
      <c r="H283" t="n" s="0">
        <v>1021891.0</v>
      </c>
      <c r="I283" s="0">
        <f>1/COUNTIFS($H$5:$H$308,H283,$J$5:$J$308,1)</f>
      </c>
      <c r="J283" s="0">
        <f>IF(SUBTOTAL(103,H283) = 1, 1, 0)</f>
      </c>
      <c r="K283" t="n" s="0">
        <v>2025.0</v>
      </c>
      <c r="L283" t="s" s="0">
        <v>24</v>
      </c>
      <c r="M283" t="s" s="0">
        <v>57</v>
      </c>
      <c r="N283" t="s" s="0">
        <v>55</v>
      </c>
      <c r="O283" t="s" s="0">
        <v>61</v>
      </c>
      <c r="P283" t="s" s="0">
        <v>28</v>
      </c>
      <c r="Q283" t="n" s="0">
        <v>19.0</v>
      </c>
      <c r="R283" t="s" s="0">
        <v>29</v>
      </c>
    </row>
    <row r="284">
      <c r="A284" t="n" s="3">
        <v>46090.6146875</v>
      </c>
      <c r="B284" t="s" s="0">
        <v>100</v>
      </c>
      <c r="C284" t="s" s="0">
        <v>37</v>
      </c>
      <c r="D284" t="s" s="0">
        <v>101</v>
      </c>
      <c r="E284" t="s" s="0">
        <v>21</v>
      </c>
      <c r="F284" t="s" s="0">
        <v>22</v>
      </c>
      <c r="G284" t="s" s="0">
        <v>128</v>
      </c>
      <c r="H284" t="n" s="0">
        <v>946997.0</v>
      </c>
      <c r="I284" s="0">
        <f>1/COUNTIFS($H$5:$H$308,H284,$J$5:$J$308,1)</f>
      </c>
      <c r="J284" s="0">
        <f>IF(SUBTOTAL(103,H284) = 1, 1, 0)</f>
      </c>
      <c r="K284" t="n" s="0">
        <v>2025.0</v>
      </c>
      <c r="L284" t="s" s="0">
        <v>24</v>
      </c>
      <c r="M284" t="s" s="0">
        <v>102</v>
      </c>
      <c r="N284" t="s" s="0">
        <v>58</v>
      </c>
      <c r="O284" t="s" s="0">
        <v>90</v>
      </c>
      <c r="P284" t="s" s="0">
        <v>28</v>
      </c>
      <c r="Q284" t="n" s="0">
        <v>29.0</v>
      </c>
      <c r="R284" t="s" s="0">
        <v>104</v>
      </c>
    </row>
    <row r="285">
      <c r="A285" t="n" s="3">
        <v>46091.396631944444</v>
      </c>
      <c r="B285" t="s" s="0">
        <v>18</v>
      </c>
      <c r="C285" t="s" s="0">
        <v>37</v>
      </c>
      <c r="D285" t="s" s="0">
        <v>75</v>
      </c>
      <c r="E285" t="s" s="0">
        <v>21</v>
      </c>
      <c r="F285" t="s" s="0">
        <v>43</v>
      </c>
      <c r="G285" t="s" s="0">
        <v>32</v>
      </c>
      <c r="H285" t="n" s="0">
        <v>936798.0</v>
      </c>
      <c r="I285" s="0">
        <f>1/COUNTIFS($H$5:$H$308,H285,$J$5:$J$308,1)</f>
      </c>
      <c r="J285" s="0">
        <f>IF(SUBTOTAL(103,H285) = 1, 1, 0)</f>
      </c>
      <c r="K285" t="n" s="0">
        <v>2025.0</v>
      </c>
      <c r="L285" t="s" s="0">
        <v>24</v>
      </c>
      <c r="M285" t="s" s="0">
        <v>25</v>
      </c>
      <c r="N285" t="s" s="0">
        <v>26</v>
      </c>
      <c r="O285" t="s" s="0">
        <v>138</v>
      </c>
      <c r="P285" t="s" s="0">
        <v>28</v>
      </c>
      <c r="Q285" t="n" s="0">
        <v>18.0</v>
      </c>
      <c r="R285" t="s" s="0">
        <v>29</v>
      </c>
    </row>
    <row r="286">
      <c r="A286" t="n" s="3">
        <v>46091.44804398148</v>
      </c>
      <c r="B286" t="s" s="0">
        <v>18</v>
      </c>
      <c r="C286" t="s" s="0">
        <v>37</v>
      </c>
      <c r="D286" t="s" s="0">
        <v>75</v>
      </c>
      <c r="E286" t="s" s="0">
        <v>21</v>
      </c>
      <c r="F286" t="s" s="0">
        <v>43</v>
      </c>
      <c r="G286" t="s" s="0">
        <v>32</v>
      </c>
      <c r="H286" t="n" s="0">
        <v>931590.0</v>
      </c>
      <c r="I286" s="0">
        <f>1/COUNTIFS($H$5:$H$308,H286,$J$5:$J$308,1)</f>
      </c>
      <c r="J286" s="0">
        <f>IF(SUBTOTAL(103,H286) = 1, 1, 0)</f>
      </c>
      <c r="K286" t="n" s="0">
        <v>2025.0</v>
      </c>
      <c r="L286" t="s" s="0">
        <v>24</v>
      </c>
      <c r="M286" t="s" s="0">
        <v>25</v>
      </c>
      <c r="N286" t="s" s="0">
        <v>26</v>
      </c>
      <c r="O286" t="s" s="0">
        <v>157</v>
      </c>
      <c r="P286" t="s" s="0">
        <v>28</v>
      </c>
      <c r="Q286" t="n" s="0">
        <v>19.0</v>
      </c>
      <c r="R286" t="s" s="0">
        <v>29</v>
      </c>
    </row>
    <row r="287">
      <c r="A287" t="n" s="3">
        <v>46094.41266203704</v>
      </c>
      <c r="B287" t="s" s="0">
        <v>18</v>
      </c>
      <c r="C287" t="s" s="0">
        <v>37</v>
      </c>
      <c r="D287" t="s" s="0">
        <v>99</v>
      </c>
      <c r="E287" t="s" s="0">
        <v>21</v>
      </c>
      <c r="F287" t="s" s="0">
        <v>31</v>
      </c>
      <c r="G287" t="s" s="0">
        <v>32</v>
      </c>
      <c r="H287" t="n" s="0">
        <v>835512.0</v>
      </c>
      <c r="I287" s="0">
        <f>1/COUNTIFS($H$5:$H$308,H287,$J$5:$J$308,1)</f>
      </c>
      <c r="J287" s="0">
        <f>IF(SUBTOTAL(103,H287) = 1, 1, 0)</f>
      </c>
      <c r="K287" t="n" s="0">
        <v>2025.0</v>
      </c>
      <c r="L287" t="s" s="0">
        <v>24</v>
      </c>
      <c r="M287" t="s" s="0">
        <v>33</v>
      </c>
      <c r="N287" t="s" s="0">
        <v>34</v>
      </c>
      <c r="O287" t="s" s="0">
        <v>85</v>
      </c>
      <c r="P287" t="s" s="0">
        <v>36</v>
      </c>
      <c r="Q287" t="n" s="0">
        <v>23.0</v>
      </c>
      <c r="R287" t="s" s="0">
        <v>29</v>
      </c>
    </row>
    <row r="288">
      <c r="A288" t="n" s="3">
        <v>46094.49497685185</v>
      </c>
      <c r="B288" t="s" s="0">
        <v>100</v>
      </c>
      <c r="C288" t="s" s="0">
        <v>37</v>
      </c>
      <c r="D288" t="s" s="0">
        <v>101</v>
      </c>
      <c r="E288" t="s" s="0">
        <v>21</v>
      </c>
      <c r="F288" t="s" s="0">
        <v>31</v>
      </c>
      <c r="G288" t="s" s="0">
        <v>163</v>
      </c>
      <c r="H288" t="n" s="0">
        <v>838589.0</v>
      </c>
      <c r="I288" s="0">
        <f>1/COUNTIFS($H$5:$H$308,H288,$J$5:$J$308,1)</f>
      </c>
      <c r="J288" s="0">
        <f>IF(SUBTOTAL(103,H288) = 1, 1, 0)</f>
      </c>
      <c r="K288" t="n" s="0">
        <v>2025.0</v>
      </c>
      <c r="L288" t="s" s="0">
        <v>24</v>
      </c>
      <c r="M288" t="s" s="0">
        <v>33</v>
      </c>
      <c r="N288" t="s" s="0">
        <v>34</v>
      </c>
      <c r="O288" t="s" s="0">
        <v>44</v>
      </c>
      <c r="P288" t="s" s="0">
        <v>36</v>
      </c>
      <c r="Q288" t="n" s="0">
        <v>20.0</v>
      </c>
      <c r="R288" t="s" s="0">
        <v>29</v>
      </c>
    </row>
    <row r="289">
      <c r="A289" t="n" s="3">
        <v>46094.65424768518</v>
      </c>
      <c r="B289" t="s" s="0">
        <v>100</v>
      </c>
      <c r="C289" t="s" s="0">
        <v>37</v>
      </c>
      <c r="D289" t="s" s="0">
        <v>101</v>
      </c>
      <c r="E289" t="s" s="0">
        <v>21</v>
      </c>
      <c r="F289" t="s" s="0">
        <v>52</v>
      </c>
      <c r="G289" t="s" s="0">
        <v>32</v>
      </c>
      <c r="H289" t="n" s="0">
        <v>834978.0</v>
      </c>
      <c r="I289" s="0">
        <f>1/COUNTIFS($H$5:$H$308,H289,$J$5:$J$308,1)</f>
      </c>
      <c r="J289" s="0">
        <f>IF(SUBTOTAL(103,H289) = 1, 1, 0)</f>
      </c>
      <c r="K289" t="n" s="0">
        <v>2025.0</v>
      </c>
      <c r="L289" t="s" s="0">
        <v>24</v>
      </c>
      <c r="M289" t="s" s="0">
        <v>97</v>
      </c>
      <c r="N289" t="s" s="0">
        <v>34</v>
      </c>
      <c r="O289" t="s" s="0">
        <v>112</v>
      </c>
      <c r="P289" t="s" s="0">
        <v>36</v>
      </c>
      <c r="Q289" t="n" s="0">
        <v>44.0</v>
      </c>
      <c r="R289" t="s" s="0">
        <v>29</v>
      </c>
    </row>
    <row r="290">
      <c r="A290" t="n" s="3">
        <v>46097.46875</v>
      </c>
      <c r="B290" t="s" s="0">
        <v>18</v>
      </c>
      <c r="C290" t="s" s="0">
        <v>51</v>
      </c>
      <c r="D290" t="s" s="0">
        <v>75</v>
      </c>
      <c r="E290" t="s" s="0">
        <v>21</v>
      </c>
      <c r="F290" t="s" s="0">
        <v>191</v>
      </c>
      <c r="G290" t="s" s="0">
        <v>118</v>
      </c>
      <c r="H290" t="n" s="0">
        <v>940600.0</v>
      </c>
      <c r="I290" s="0">
        <f>1/COUNTIFS($H$5:$H$308,H290,$J$5:$J$308,1)</f>
      </c>
      <c r="J290" s="0">
        <f>IF(SUBTOTAL(103,H290) = 1, 1, 0)</f>
      </c>
      <c r="K290" t="n" s="0">
        <v>2025.0</v>
      </c>
      <c r="L290" t="s" s="0">
        <v>24</v>
      </c>
      <c r="M290" t="s" s="0">
        <v>33</v>
      </c>
      <c r="N290" t="s" s="0">
        <v>26</v>
      </c>
      <c r="O290" t="s" s="0">
        <v>121</v>
      </c>
      <c r="P290" t="s" s="0">
        <v>28</v>
      </c>
      <c r="Q290" t="n" s="0">
        <v>20.0</v>
      </c>
      <c r="R290" t="s" s="0">
        <v>29</v>
      </c>
    </row>
    <row r="291">
      <c r="A291" t="n" s="3">
        <v>46097.53655092593</v>
      </c>
      <c r="B291" t="s" s="0">
        <v>18</v>
      </c>
      <c r="C291" t="s" s="0">
        <v>37</v>
      </c>
      <c r="D291" t="s" s="0">
        <v>99</v>
      </c>
      <c r="E291" t="s" s="0">
        <v>21</v>
      </c>
      <c r="F291" t="s" s="0">
        <v>31</v>
      </c>
      <c r="G291" t="s" s="0">
        <v>32</v>
      </c>
      <c r="H291" t="n" s="0">
        <v>889858.0</v>
      </c>
      <c r="I291" s="0">
        <f>1/COUNTIFS($H$5:$H$308,H291,$J$5:$J$308,1)</f>
      </c>
      <c r="J291" s="0">
        <f>IF(SUBTOTAL(103,H291) = 1, 1, 0)</f>
      </c>
      <c r="K291" t="n" s="0">
        <v>2023.0</v>
      </c>
      <c r="L291" t="s" s="0">
        <v>54</v>
      </c>
      <c r="M291" t="s" s="0">
        <v>54</v>
      </c>
      <c r="N291" t="s" s="0">
        <v>55</v>
      </c>
      <c r="O291" t="s" s="0">
        <v>56</v>
      </c>
      <c r="P291" t="s" s="0">
        <v>36</v>
      </c>
      <c r="Q291" t="n" s="0">
        <v>21.0</v>
      </c>
      <c r="R291" t="s" s="0">
        <v>29</v>
      </c>
    </row>
    <row r="292">
      <c r="A292" t="n" s="3">
        <v>46097.645833333336</v>
      </c>
      <c r="B292" t="s" s="0">
        <v>18</v>
      </c>
      <c r="C292" t="s" s="0">
        <v>37</v>
      </c>
      <c r="D292" t="s" s="0">
        <v>75</v>
      </c>
      <c r="E292" t="s" s="0">
        <v>21</v>
      </c>
      <c r="F292" t="s" s="0">
        <v>87</v>
      </c>
      <c r="G292" t="s" s="0">
        <v>88</v>
      </c>
      <c r="H292" t="n" s="0">
        <v>1016553.0</v>
      </c>
      <c r="I292" s="0">
        <f>1/COUNTIFS($H$5:$H$308,H292,$J$5:$J$308,1)</f>
      </c>
      <c r="J292" s="0">
        <f>IF(SUBTOTAL(103,H292) = 1, 1, 0)</f>
      </c>
      <c r="K292" t="n" s="0">
        <v>2025.0</v>
      </c>
      <c r="L292" t="s" s="0">
        <v>24</v>
      </c>
      <c r="M292" t="s" s="0">
        <v>33</v>
      </c>
      <c r="N292" t="s" s="0">
        <v>55</v>
      </c>
      <c r="O292" t="s" s="0">
        <v>74</v>
      </c>
      <c r="P292" t="s" s="0">
        <v>36</v>
      </c>
      <c r="Q292" t="n" s="0">
        <v>18.0</v>
      </c>
      <c r="R292" t="s" s="0">
        <v>29</v>
      </c>
    </row>
    <row r="293">
      <c r="A293" t="n" s="3">
        <v>46097.666666666664</v>
      </c>
      <c r="B293" t="s" s="0">
        <v>113</v>
      </c>
      <c r="C293" t="s" s="0">
        <v>37</v>
      </c>
      <c r="D293" t="s" s="0">
        <v>75</v>
      </c>
      <c r="E293" t="s" s="0">
        <v>21</v>
      </c>
      <c r="F293" t="s" s="0">
        <v>31</v>
      </c>
      <c r="G293" t="s" s="0">
        <v>73</v>
      </c>
      <c r="H293" t="n" s="0">
        <v>932132.0</v>
      </c>
      <c r="I293" s="0">
        <f>1/COUNTIFS($H$5:$H$308,H293,$J$5:$J$308,1)</f>
      </c>
      <c r="J293" s="0">
        <f>IF(SUBTOTAL(103,H293) = 1, 1, 0)</f>
      </c>
      <c r="K293" t="n" s="0">
        <v>2025.0</v>
      </c>
      <c r="L293" t="s" s="0">
        <v>24</v>
      </c>
      <c r="M293" t="s" s="0">
        <v>114</v>
      </c>
      <c r="N293" t="s" s="0">
        <v>26</v>
      </c>
      <c r="O293" t="s" s="0">
        <v>215</v>
      </c>
      <c r="P293" t="s" s="0">
        <v>28</v>
      </c>
      <c r="Q293" t="n" s="0">
        <v>20.0</v>
      </c>
      <c r="R293" t="s" s="0">
        <v>29</v>
      </c>
    </row>
    <row r="294">
      <c r="A294" t="n" s="3">
        <v>46098.40760416666</v>
      </c>
      <c r="B294" t="s" s="0">
        <v>18</v>
      </c>
      <c r="C294" t="s" s="0">
        <v>51</v>
      </c>
      <c r="D294" t="s" s="0">
        <v>75</v>
      </c>
      <c r="E294" t="s" s="0">
        <v>21</v>
      </c>
      <c r="F294" t="s" s="0">
        <v>67</v>
      </c>
      <c r="G294" t="s" s="0">
        <v>96</v>
      </c>
      <c r="H294" t="n" s="0">
        <v>911919.0</v>
      </c>
      <c r="I294" s="0">
        <f>1/COUNTIFS($H$5:$H$308,H294,$J$5:$J$308,1)</f>
      </c>
      <c r="J294" s="0">
        <f>IF(SUBTOTAL(103,H294) = 1, 1, 0)</f>
      </c>
      <c r="K294" t="n" s="0">
        <v>2025.0</v>
      </c>
      <c r="L294" t="s" s="0">
        <v>24</v>
      </c>
      <c r="M294" t="s" s="0">
        <v>33</v>
      </c>
      <c r="N294" t="s" s="0">
        <v>26</v>
      </c>
      <c r="O294" t="s" s="0">
        <v>35</v>
      </c>
      <c r="P294" t="s" s="0">
        <v>36</v>
      </c>
      <c r="Q294" t="n" s="0">
        <v>19.0</v>
      </c>
      <c r="R294" t="s" s="0">
        <v>29</v>
      </c>
    </row>
    <row r="295">
      <c r="A295" t="n" s="3">
        <v>46098.6171412037</v>
      </c>
      <c r="B295" t="s" s="0">
        <v>18</v>
      </c>
      <c r="C295" t="s" s="0">
        <v>51</v>
      </c>
      <c r="D295" t="s" s="0">
        <v>75</v>
      </c>
      <c r="E295" t="s" s="0">
        <v>21</v>
      </c>
      <c r="F295" t="s" s="0">
        <v>65</v>
      </c>
      <c r="G295" t="s" s="0">
        <v>172</v>
      </c>
      <c r="H295" t="n" s="0">
        <v>936192.0</v>
      </c>
      <c r="I295" s="0">
        <f>1/COUNTIFS($H$5:$H$308,H295,$J$5:$J$308,1)</f>
      </c>
      <c r="J295" s="0">
        <f>IF(SUBTOTAL(103,H295) = 1, 1, 0)</f>
      </c>
      <c r="K295" t="n" s="0">
        <v>2025.0</v>
      </c>
      <c r="L295" t="s" s="0">
        <v>24</v>
      </c>
      <c r="M295" t="s" s="0">
        <v>33</v>
      </c>
      <c r="N295" t="s" s="0">
        <v>26</v>
      </c>
      <c r="O295" t="s" s="0">
        <v>85</v>
      </c>
      <c r="P295" t="s" s="0">
        <v>28</v>
      </c>
      <c r="Q295" t="n" s="0">
        <v>20.0</v>
      </c>
      <c r="R295" t="s" s="0">
        <v>29</v>
      </c>
    </row>
    <row r="296">
      <c r="A296" t="n" s="3">
        <v>46098.6215625</v>
      </c>
      <c r="B296" t="s" s="0">
        <v>18</v>
      </c>
      <c r="C296" t="s" s="0">
        <v>37</v>
      </c>
      <c r="D296" t="s" s="0">
        <v>20</v>
      </c>
      <c r="E296" t="s" s="0">
        <v>21</v>
      </c>
      <c r="F296" t="s" s="0">
        <v>31</v>
      </c>
      <c r="G296" t="s" s="0">
        <v>163</v>
      </c>
      <c r="H296" t="n" s="0">
        <v>1002406.0</v>
      </c>
      <c r="I296" s="0">
        <f>1/COUNTIFS($H$5:$H$308,H296,$J$5:$J$308,1)</f>
      </c>
      <c r="J296" s="0">
        <f>IF(SUBTOTAL(103,H296) = 1, 1, 0)</f>
      </c>
      <c r="K296" t="n" s="0">
        <v>2025.0</v>
      </c>
      <c r="L296" t="s" s="0">
        <v>24</v>
      </c>
      <c r="M296" t="s" s="0">
        <v>33</v>
      </c>
      <c r="N296" t="s" s="0">
        <v>55</v>
      </c>
      <c r="O296" t="s" s="0">
        <v>85</v>
      </c>
      <c r="P296" t="s" s="0">
        <v>36</v>
      </c>
      <c r="Q296" t="n" s="0">
        <v>18.0</v>
      </c>
      <c r="R296" t="s" s="0">
        <v>29</v>
      </c>
    </row>
    <row r="297">
      <c r="A297" t="n" s="3">
        <v>46098.634571759256</v>
      </c>
      <c r="B297" t="s" s="0">
        <v>18</v>
      </c>
      <c r="C297" t="s" s="0">
        <v>37</v>
      </c>
      <c r="D297" t="s" s="0">
        <v>99</v>
      </c>
      <c r="E297" t="s" s="0">
        <v>21</v>
      </c>
      <c r="F297" t="s" s="0">
        <v>52</v>
      </c>
      <c r="G297" t="s" s="0">
        <v>32</v>
      </c>
      <c r="H297" t="n" s="0">
        <v>1005876.0</v>
      </c>
      <c r="I297" s="0">
        <f>1/COUNTIFS($H$5:$H$308,H297,$J$5:$J$308,1)</f>
      </c>
      <c r="J297" s="0">
        <f>IF(SUBTOTAL(103,H297) = 1, 1, 0)</f>
      </c>
      <c r="K297" t="n" s="0">
        <v>2025.0</v>
      </c>
      <c r="L297" t="s" s="0">
        <v>24</v>
      </c>
      <c r="M297" t="s" s="0">
        <v>25</v>
      </c>
      <c r="N297" t="s" s="0">
        <v>55</v>
      </c>
      <c r="O297" t="s" s="0">
        <v>27</v>
      </c>
      <c r="P297" t="s" s="0">
        <v>28</v>
      </c>
      <c r="Q297" t="n" s="0">
        <v>20.0</v>
      </c>
      <c r="R297" t="s" s="0">
        <v>29</v>
      </c>
    </row>
    <row r="298">
      <c r="A298" t="n" s="3">
        <v>46098.647002314814</v>
      </c>
      <c r="B298" t="s" s="0">
        <v>18</v>
      </c>
      <c r="C298" t="s" s="0">
        <v>37</v>
      </c>
      <c r="D298" t="s" s="0">
        <v>75</v>
      </c>
      <c r="E298" t="s" s="0">
        <v>21</v>
      </c>
      <c r="F298" t="s" s="0">
        <v>52</v>
      </c>
      <c r="G298" t="s" s="0">
        <v>86</v>
      </c>
      <c r="H298" t="n" s="0">
        <v>936717.0</v>
      </c>
      <c r="I298" s="0">
        <f>1/COUNTIFS($H$5:$H$308,H298,$J$5:$J$308,1)</f>
      </c>
      <c r="J298" s="0">
        <f>IF(SUBTOTAL(103,H298) = 1, 1, 0)</f>
      </c>
      <c r="K298" t="n" s="0">
        <v>2025.0</v>
      </c>
      <c r="L298" t="s" s="0">
        <v>24</v>
      </c>
      <c r="M298" t="s" s="0">
        <v>80</v>
      </c>
      <c r="N298" t="s" s="0">
        <v>26</v>
      </c>
      <c r="O298" t="s" s="0">
        <v>145</v>
      </c>
      <c r="P298" t="s" s="0">
        <v>28</v>
      </c>
      <c r="Q298" t="n" s="0">
        <v>25.0</v>
      </c>
      <c r="R298" t="s" s="0">
        <v>29</v>
      </c>
    </row>
    <row r="299">
      <c r="A299" t="n" s="3">
        <v>46101.564375</v>
      </c>
      <c r="B299" t="s" s="0">
        <v>18</v>
      </c>
      <c r="C299" t="s" s="0">
        <v>19</v>
      </c>
      <c r="D299" t="s" s="0">
        <v>63</v>
      </c>
      <c r="E299" t="s" s="0">
        <v>21</v>
      </c>
      <c r="F299" t="s" s="0">
        <v>52</v>
      </c>
      <c r="G299" t="s" s="0">
        <v>126</v>
      </c>
      <c r="H299" t="n" s="0">
        <v>915225.0</v>
      </c>
      <c r="I299" s="0">
        <f>1/COUNTIFS($H$5:$H$308,H299,$J$5:$J$308,1)</f>
      </c>
      <c r="J299" s="0">
        <f>IF(SUBTOTAL(103,H299) = 1, 1, 0)</f>
      </c>
      <c r="K299" t="n" s="0">
        <v>2025.0</v>
      </c>
      <c r="L299" t="s" s="0">
        <v>24</v>
      </c>
      <c r="M299" t="s" s="0">
        <v>123</v>
      </c>
      <c r="N299" t="s" s="0">
        <v>26</v>
      </c>
      <c r="O299" t="s" s="0">
        <v>154</v>
      </c>
      <c r="P299" t="s" s="0">
        <v>36</v>
      </c>
      <c r="Q299" t="n" s="0">
        <v>19.0</v>
      </c>
      <c r="R299" t="s" s="0">
        <v>29</v>
      </c>
    </row>
    <row r="300">
      <c r="A300" t="n" s="3">
        <v>46101.66736111111</v>
      </c>
      <c r="B300" t="s" s="0">
        <v>100</v>
      </c>
      <c r="C300" t="s" s="0">
        <v>37</v>
      </c>
      <c r="D300" t="s" s="0">
        <v>101</v>
      </c>
      <c r="E300" t="s" s="0">
        <v>21</v>
      </c>
      <c r="F300" t="s" s="0">
        <v>31</v>
      </c>
      <c r="G300" t="s" s="0">
        <v>163</v>
      </c>
      <c r="H300" t="n" s="0">
        <v>804260.0</v>
      </c>
      <c r="I300" s="0">
        <f>1/COUNTIFS($H$5:$H$308,H300,$J$5:$J$308,1)</f>
      </c>
      <c r="J300" s="0">
        <f>IF(SUBTOTAL(103,H300) = 1, 1, 0)</f>
      </c>
      <c r="K300" t="n" s="0">
        <v>2025.0</v>
      </c>
      <c r="L300" t="s" s="0">
        <v>24</v>
      </c>
      <c r="M300" t="s" s="0">
        <v>97</v>
      </c>
      <c r="N300" t="s" s="0">
        <v>64</v>
      </c>
      <c r="O300" t="s" s="0">
        <v>112</v>
      </c>
      <c r="P300" t="s" s="0">
        <v>36</v>
      </c>
      <c r="Q300" t="n" s="0">
        <v>22.0</v>
      </c>
      <c r="R300" t="s" s="0">
        <v>29</v>
      </c>
    </row>
    <row r="301">
      <c r="A301" t="n" s="3">
        <v>46104.647465277776</v>
      </c>
      <c r="B301" t="s" s="0">
        <v>18</v>
      </c>
      <c r="C301" t="s" s="0">
        <v>51</v>
      </c>
      <c r="D301" t="s" s="0">
        <v>75</v>
      </c>
      <c r="E301" t="s" s="0">
        <v>21</v>
      </c>
      <c r="F301" t="s" s="0">
        <v>91</v>
      </c>
      <c r="G301" t="s" s="0">
        <v>136</v>
      </c>
      <c r="H301" t="n" s="0">
        <v>925938.0</v>
      </c>
      <c r="I301" s="0">
        <f>1/COUNTIFS($H$5:$H$308,H301,$J$5:$J$308,1)</f>
      </c>
      <c r="J301" s="0">
        <f>IF(SUBTOTAL(103,H301) = 1, 1, 0)</f>
      </c>
      <c r="K301" t="n" s="0">
        <v>2025.0</v>
      </c>
      <c r="L301" t="s" s="0">
        <v>24</v>
      </c>
      <c r="M301" t="s" s="0">
        <v>33</v>
      </c>
      <c r="N301" t="s" s="0">
        <v>26</v>
      </c>
      <c r="O301" t="s" s="0">
        <v>74</v>
      </c>
      <c r="P301" t="s" s="0">
        <v>28</v>
      </c>
      <c r="Q301" t="n" s="0">
        <v>19.0</v>
      </c>
      <c r="R301" t="s" s="0">
        <v>29</v>
      </c>
    </row>
    <row r="302">
      <c r="A302" t="n" s="3">
        <v>46105.66137731481</v>
      </c>
      <c r="B302" t="s" s="0">
        <v>18</v>
      </c>
      <c r="C302" t="s" s="0">
        <v>37</v>
      </c>
      <c r="D302" t="s" s="0">
        <v>75</v>
      </c>
      <c r="E302" t="s" s="0">
        <v>21</v>
      </c>
      <c r="F302" t="s" s="0">
        <v>52</v>
      </c>
      <c r="G302" t="s" s="0">
        <v>86</v>
      </c>
      <c r="H302" t="n" s="0">
        <v>1000061.0</v>
      </c>
      <c r="I302" s="0">
        <f>1/COUNTIFS($H$5:$H$308,H302,$J$5:$J$308,1)</f>
      </c>
      <c r="J302" s="0">
        <f>IF(SUBTOTAL(103,H302) = 1, 1, 0)</f>
      </c>
      <c r="K302" t="n" s="0">
        <v>2025.0</v>
      </c>
      <c r="L302" t="s" s="0">
        <v>24</v>
      </c>
      <c r="M302" t="s" s="0">
        <v>33</v>
      </c>
      <c r="N302" t="s" s="0">
        <v>55</v>
      </c>
      <c r="O302" t="s" s="0">
        <v>85</v>
      </c>
      <c r="P302" t="s" s="0">
        <v>36</v>
      </c>
      <c r="Q302" t="n" s="0">
        <v>19.0</v>
      </c>
      <c r="R302" t="s" s="0">
        <v>29</v>
      </c>
    </row>
    <row r="303">
      <c r="A303" t="n" s="3">
        <v>46108.41423611111</v>
      </c>
      <c r="B303" t="s" s="0">
        <v>18</v>
      </c>
      <c r="C303" t="s" s="0">
        <v>37</v>
      </c>
      <c r="D303" t="s" s="0">
        <v>46</v>
      </c>
      <c r="E303" t="s" s="0">
        <v>21</v>
      </c>
      <c r="F303" t="s" s="0">
        <v>52</v>
      </c>
      <c r="G303" t="s" s="0">
        <v>60</v>
      </c>
      <c r="H303" t="n" s="0">
        <v>1071972.0</v>
      </c>
      <c r="I303" s="0">
        <f>1/COUNTIFS($H$5:$H$308,H303,$J$5:$J$308,1)</f>
      </c>
      <c r="J303" s="0">
        <f>IF(SUBTOTAL(103,H303) = 1, 1, 0)</f>
      </c>
      <c r="K303" t="n" s="0">
        <v>2025.0</v>
      </c>
      <c r="L303" t="s" s="0">
        <v>116</v>
      </c>
      <c r="M303" t="s" s="0">
        <v>116</v>
      </c>
      <c r="N303" t="s" s="0">
        <v>55</v>
      </c>
      <c r="O303" t="s" s="0">
        <v>223</v>
      </c>
      <c r="P303" t="s" s="0">
        <v>36</v>
      </c>
      <c r="Q303" t="n" s="0">
        <v>18.0</v>
      </c>
      <c r="R303" t="s" s="0">
        <v>29</v>
      </c>
    </row>
    <row r="304">
      <c r="A304" t="n" s="3">
        <v>46108.46875</v>
      </c>
      <c r="B304" t="s" s="0">
        <v>113</v>
      </c>
      <c r="C304" t="s" s="0">
        <v>51</v>
      </c>
      <c r="D304" t="s" s="0">
        <v>75</v>
      </c>
      <c r="E304" t="s" s="0">
        <v>21</v>
      </c>
      <c r="F304" t="s" s="0">
        <v>65</v>
      </c>
      <c r="G304" t="s" s="0">
        <v>119</v>
      </c>
      <c r="H304" t="n" s="0">
        <v>1017559.0</v>
      </c>
      <c r="I304" s="0">
        <f>1/COUNTIFS($H$5:$H$308,H304,$J$5:$J$308,1)</f>
      </c>
      <c r="J304" s="0">
        <f>IF(SUBTOTAL(103,H304) = 1, 1, 0)</f>
      </c>
      <c r="K304" t="n" s="0">
        <v>2025.0</v>
      </c>
      <c r="L304" t="s" s="0">
        <v>24</v>
      </c>
      <c r="M304" t="s" s="0">
        <v>131</v>
      </c>
      <c r="N304" t="s" s="0">
        <v>55</v>
      </c>
      <c r="O304" t="s" s="0">
        <v>61</v>
      </c>
      <c r="P304" t="s" s="0">
        <v>36</v>
      </c>
      <c r="Q304" t="n" s="0">
        <v>19.0</v>
      </c>
      <c r="R304" t="s" s="0">
        <v>29</v>
      </c>
    </row>
    <row r="305">
      <c r="A305" t="n" s="3">
        <v>46108.674629629626</v>
      </c>
      <c r="B305" t="s" s="0">
        <v>100</v>
      </c>
      <c r="C305" t="s" s="0">
        <v>37</v>
      </c>
      <c r="D305" t="s" s="0">
        <v>101</v>
      </c>
      <c r="E305" t="s" s="0">
        <v>21</v>
      </c>
      <c r="F305" t="s" s="0">
        <v>65</v>
      </c>
      <c r="G305" t="s" s="0">
        <v>79</v>
      </c>
      <c r="H305" t="n" s="0">
        <v>774416.0</v>
      </c>
      <c r="I305" s="0">
        <f>1/COUNTIFS($H$5:$H$308,H305,$J$5:$J$308,1)</f>
      </c>
      <c r="J305" s="0">
        <f>IF(SUBTOTAL(103,H305) = 1, 1, 0)</f>
      </c>
      <c r="K305" t="n" s="0">
        <v>2025.0</v>
      </c>
      <c r="L305" t="s" s="0">
        <v>24</v>
      </c>
      <c r="M305" t="s" s="0">
        <v>97</v>
      </c>
      <c r="N305" t="s" s="0">
        <v>64</v>
      </c>
      <c r="O305" t="s" s="0">
        <v>112</v>
      </c>
      <c r="P305" t="s" s="0">
        <v>36</v>
      </c>
      <c r="Q305" t="n" s="0">
        <v>21.0</v>
      </c>
      <c r="R305" t="s" s="0">
        <v>29</v>
      </c>
    </row>
    <row r="306">
      <c r="A306" t="n" s="3">
        <v>46111.540451388886</v>
      </c>
      <c r="B306" t="s" s="0">
        <v>18</v>
      </c>
      <c r="C306" t="s" s="0">
        <v>37</v>
      </c>
      <c r="D306" t="s" s="0">
        <v>99</v>
      </c>
      <c r="E306" t="s" s="0">
        <v>21</v>
      </c>
      <c r="F306" t="s" s="0">
        <v>31</v>
      </c>
      <c r="G306" t="s" s="0">
        <v>32</v>
      </c>
      <c r="H306" t="n" s="0">
        <v>1018217.0</v>
      </c>
      <c r="I306" s="0">
        <f>1/COUNTIFS($H$5:$H$308,H306,$J$5:$J$308,1)</f>
      </c>
      <c r="J306" s="0">
        <f>IF(SUBTOTAL(103,H306) = 1, 1, 0)</f>
      </c>
      <c r="K306" t="n" s="0">
        <v>2025.0</v>
      </c>
      <c r="L306" t="s" s="0">
        <v>24</v>
      </c>
      <c r="M306" t="s" s="0">
        <v>33</v>
      </c>
      <c r="N306" t="s" s="0">
        <v>55</v>
      </c>
      <c r="O306" t="s" s="0">
        <v>35</v>
      </c>
      <c r="P306" t="s" s="0">
        <v>28</v>
      </c>
      <c r="Q306" t="n" s="0">
        <v>19.0</v>
      </c>
      <c r="R306" t="s" s="0">
        <v>29</v>
      </c>
    </row>
    <row r="307">
      <c r="A307" t="n" s="3">
        <v>46111.64981481482</v>
      </c>
      <c r="B307" t="s" s="0">
        <v>18</v>
      </c>
      <c r="C307" t="s" s="0">
        <v>37</v>
      </c>
      <c r="D307" t="s" s="0">
        <v>75</v>
      </c>
      <c r="E307" t="s" s="0">
        <v>21</v>
      </c>
      <c r="F307" t="s" s="0">
        <v>31</v>
      </c>
      <c r="G307" t="s" s="0">
        <v>73</v>
      </c>
      <c r="H307" t="n" s="0">
        <v>1027018.0</v>
      </c>
      <c r="I307" s="0">
        <f>1/COUNTIFS($H$5:$H$308,H307,$J$5:$J$308,1)</f>
      </c>
      <c r="J307" s="0">
        <f>IF(SUBTOTAL(103,H307) = 1, 1, 0)</f>
      </c>
      <c r="K307" t="n" s="0">
        <v>2025.0</v>
      </c>
      <c r="L307" t="s" s="0">
        <v>24</v>
      </c>
      <c r="M307" t="s" s="0">
        <v>33</v>
      </c>
      <c r="N307" t="s" s="0">
        <v>55</v>
      </c>
      <c r="O307" t="s" s="0">
        <v>85</v>
      </c>
      <c r="P307" t="s" s="0">
        <v>36</v>
      </c>
      <c r="Q307" t="n" s="0">
        <v>18.0</v>
      </c>
      <c r="R307" t="s" s="0">
        <v>29</v>
      </c>
    </row>
    <row r="308">
      <c r="A308" t="n" s="3">
        <v>46113.46875</v>
      </c>
      <c r="B308" t="s" s="0">
        <v>113</v>
      </c>
      <c r="C308" t="s" s="0">
        <v>51</v>
      </c>
      <c r="D308" t="s" s="0">
        <v>75</v>
      </c>
      <c r="E308" t="s" s="0">
        <v>21</v>
      </c>
      <c r="F308" t="s" s="0">
        <v>43</v>
      </c>
      <c r="G308" t="s" s="0">
        <v>139</v>
      </c>
      <c r="H308" t="n" s="0">
        <v>937630.0</v>
      </c>
      <c r="I308" s="0">
        <f>1/COUNTIFS($H$5:$H$308,H308,$J$5:$J$308,1)</f>
      </c>
      <c r="J308" s="0">
        <f>IF(SUBTOTAL(103,H308) = 1, 1, 0)</f>
      </c>
      <c r="K308" t="n" s="0">
        <v>2025.0</v>
      </c>
      <c r="L308" t="s" s="0">
        <v>24</v>
      </c>
      <c r="M308" t="s" s="0">
        <v>131</v>
      </c>
      <c r="N308" t="s" s="0">
        <v>26</v>
      </c>
      <c r="O308" t="s" s="0">
        <v>61</v>
      </c>
      <c r="P308" t="s" s="0">
        <v>36</v>
      </c>
      <c r="Q308" t="n" s="0">
        <v>19.0</v>
      </c>
      <c r="R308" t="s" s="0">
        <v>29</v>
      </c>
    </row>
  </sheetData>
  <autoFilter ref="A4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2026-04-07T13:10:54Z</dcterms:created>
  <dc:creator>Apache POI</dc:creator>
</cp:coreProperties>
</file>