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<sst xmlns="http://schemas.openxmlformats.org/spreadsheetml/2006/main" count="27" uniqueCount="26">
  <si>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Evolution du nombre d'appels reçus au standard 2021-2021 à 2025-2026</t>
  </si>
  <si>
    <t xml:space="preserve">Mois</t>
  </si>
  <si>
    <t xml:space="preserve">Nb appels 
2020-2021</t>
  </si>
  <si>
    <t xml:space="preserve">Nb appels 
2021-2022</t>
  </si>
  <si>
    <t xml:space="preserve">Nb appels 
2022-2023</t>
  </si>
  <si>
    <t xml:space="preserve">Nb appels
2023-2024</t>
  </si>
  <si>
    <t xml:space="preserve">Nb appels 2024-2025</t>
  </si>
  <si>
    <t xml:space="preserve">Moyenne appels 
reçus/jour
en 23/24</t>
  </si>
  <si>
    <t xml:space="preserve">Nb appels
2024-2025</t>
  </si>
  <si>
    <t xml:space="preserve">Moyenne appels 
reçus/jour
en 24/25</t>
  </si>
  <si>
    <t xml:space="preserve">Nb appels 2025-2026</t>
  </si>
  <si>
    <t xml:space="preserve">Moyenne appels reçus/jour en 25/26</t>
  </si>
  <si>
    <t xml:space="preserve">août</t>
  </si>
  <si>
    <t xml:space="preserve">?</t>
  </si>
  <si>
    <t xml:space="preserve">sept</t>
  </si>
  <si>
    <t xml:space="preserve">oct</t>
  </si>
  <si>
    <t xml:space="preserve">nov</t>
  </si>
  <si>
    <t xml:space="preserve">déc</t>
  </si>
  <si>
    <t xml:space="preserve">janv</t>
  </si>
  <si>
    <t xml:space="preserve">févr</t>
  </si>
  <si>
    <t xml:space="preserve">mars</t>
  </si>
  <si>
    <t xml:space="preserve">avr</t>
  </si>
  <si>
    <t xml:space="preserve">mai</t>
  </si>
  <si>
    <t xml:space="preserve">juin</t>
  </si>
  <si>
    <t xml:space="preserve">juil</t>
  </si>
  <si>
    <t xml:space="preserve">Sur 1 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</si>
</sst>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C]mmm\-yy;@"/>
    <numFmt numFmtId="166" formatCode="0"/>
    <numFmt numFmtId="167" formatCode="mmm\-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9DD6F2"/>
        <bgColor rgb="FFCCCCFF"/>
      </patternFill>
    </fill>
    <fill>
      <patternFill patternType="solid">
        <fgColor theme="0" tint="-0.05"/>
        <bgColor rgb="FFFFFFCC"/>
      </patternFill>
    </fill>
    <fill>
      <patternFill patternType="solid">
        <fgColor theme="5" tint="0.5999"/>
        <bgColor rgb="FFC0C0C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1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center" textRotation="0" wrapText="false" indent="1" shrinkToFit="false"/>
      <protection locked="true" hidden="false"/>
    </xf>
    <xf numFmtId="165" fontId="4" fillId="2" borderId="1" xfId="0" applyFont="true" applyBorder="true" applyAlignment="true" applyProtection="true">
      <alignment horizontal="right" vertical="center" textRotation="0" wrapText="true" indent="1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center" textRotation="0" wrapText="true" indent="1" shrinkToFit="false"/>
      <protection locked="true" hidden="false"/>
    </xf>
    <xf numFmtId="166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center" textRotation="0" wrapText="false" indent="1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center" textRotation="0" wrapText="false" indent="1" shrinkToFit="false"/>
      <protection locked="true" hidden="false"/>
    </xf>
    <xf numFmtId="165" fontId="0" fillId="0" borderId="0" xfId="0" applyFont="false" applyBorder="true" applyAlignment="true" applyProtection="true">
      <alignment horizontal="left" vertical="bottom" textRotation="0" wrapText="true" indent="1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1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1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1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1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DD6F2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J14" activeCellId="0" sqref="J11:J14"/>
    </sheetView>
  </sheetViews>
  <sheetFormatPr defaultColWidth="11.4453125" defaultRowHeight="14.25" zeroHeight="false" outlineLevelRow="0" outlineLevelCol="0"/>
  <cols>
    <col collapsed="false" customWidth="true" hidden="false" outlineLevel="0" max="1" min="1" style="1" width="12.11"/>
    <col collapsed="false" customWidth="true" hidden="false" outlineLevel="0" max="2" min="2" style="1" width="21.33"/>
    <col collapsed="false" customWidth="true" hidden="false" outlineLevel="0" max="3" min="3" style="2" width="26.34"/>
    <col collapsed="false" customWidth="true" hidden="false" outlineLevel="0" max="4" min="4" style="2" width="26"/>
    <col collapsed="false" customWidth="true" hidden="false" outlineLevel="0" max="5" min="5" style="2" width="15.33"/>
    <col collapsed="false" customWidth="true" hidden="true" outlineLevel="0" max="6" min="6" style="2" width="25.66"/>
    <col collapsed="false" customWidth="true" hidden="false" outlineLevel="0" max="9" min="7" style="2" width="16.67"/>
    <col collapsed="false" customWidth="true" hidden="false" outlineLevel="0" max="11" min="10" style="3" width="16.67"/>
    <col collapsed="false" customWidth="true" hidden="false" outlineLevel="0" max="13" min="13" style="2" width="29.11"/>
    <col collapsed="false" customWidth="true" hidden="false" outlineLevel="0" max="14" min="14" style="2" width="14.56"/>
    <col collapsed="false" customWidth="true" hidden="false" outlineLevel="0" max="15" min="15" style="2" width="18.44"/>
  </cols>
  <sheetData>
    <row r="1" customFormat="false" ht="14.25" hidden="false" customHeight="false" outlineLevel="0" collapsed="false">
      <c r="A1" s="4" t="s">
        <v>0</v>
      </c>
      <c r="B1" s="4"/>
    </row>
    <row r="4" s="11" customFormat="true" ht="49.5" hidden="false" customHeight="true" outlineLevel="0" collapsed="false">
      <c r="A4" s="5" t="s">
        <v>1</v>
      </c>
      <c r="B4" s="6" t="s">
        <v>2</v>
      </c>
      <c r="C4" s="7" t="s">
        <v>3</v>
      </c>
      <c r="D4" s="7" t="s">
        <v>4</v>
      </c>
      <c r="E4" s="7" t="s">
        <v>5</v>
      </c>
      <c r="F4" s="8" t="s">
        <v>6</v>
      </c>
      <c r="G4" s="7" t="s">
        <v>7</v>
      </c>
      <c r="H4" s="9" t="s">
        <v>8</v>
      </c>
      <c r="I4" s="7" t="s">
        <v>9</v>
      </c>
      <c r="J4" s="10" t="s">
        <v>10</v>
      </c>
      <c r="K4" s="7" t="s">
        <v>11</v>
      </c>
      <c r="N4" s="12"/>
      <c r="O4" s="12"/>
      <c r="U4" s="12"/>
      <c r="V4" s="12"/>
    </row>
    <row r="5" s="11" customFormat="true" ht="18" hidden="false" customHeight="true" outlineLevel="0" collapsed="false">
      <c r="A5" s="13" t="s">
        <v>12</v>
      </c>
      <c r="B5" s="14" t="n">
        <v>603</v>
      </c>
      <c r="C5" s="15" t="s">
        <v>13</v>
      </c>
      <c r="D5" s="15" t="n">
        <v>686</v>
      </c>
      <c r="E5" s="15" t="n">
        <v>784</v>
      </c>
      <c r="F5" s="16" t="n">
        <v>668</v>
      </c>
      <c r="G5" s="17" t="n">
        <f aca="false">E5/5</f>
        <v>156.8</v>
      </c>
      <c r="H5" s="18" t="n">
        <v>668</v>
      </c>
      <c r="I5" s="19" t="n">
        <f aca="false">668/5</f>
        <v>133.6</v>
      </c>
      <c r="J5" s="20" t="n">
        <v>702</v>
      </c>
      <c r="K5" s="21"/>
      <c r="L5" s="12"/>
      <c r="M5" s="12"/>
    </row>
    <row r="6" s="23" customFormat="true" ht="18" hidden="false" customHeight="true" outlineLevel="0" collapsed="false">
      <c r="A6" s="13" t="s">
        <v>14</v>
      </c>
      <c r="B6" s="14" t="n">
        <v>3039</v>
      </c>
      <c r="C6" s="15" t="n">
        <v>2823</v>
      </c>
      <c r="D6" s="15" t="n">
        <v>2615</v>
      </c>
      <c r="E6" s="15" t="n">
        <v>3251</v>
      </c>
      <c r="F6" s="16" t="n">
        <v>2729</v>
      </c>
      <c r="G6" s="17" t="n">
        <f aca="false">E6/21</f>
        <v>154.809523809524</v>
      </c>
      <c r="H6" s="22" t="n">
        <v>2729</v>
      </c>
      <c r="I6" s="19" t="n">
        <f aca="false">H6/21</f>
        <v>129.952380952381</v>
      </c>
      <c r="J6" s="22" t="n">
        <v>2968</v>
      </c>
      <c r="K6" s="21" t="n">
        <f aca="false">J6/22</f>
        <v>134.909090909091</v>
      </c>
    </row>
    <row r="7" s="23" customFormat="true" ht="18" hidden="false" customHeight="true" outlineLevel="0" collapsed="false">
      <c r="A7" s="13" t="s">
        <v>15</v>
      </c>
      <c r="B7" s="14" t="n">
        <v>2425</v>
      </c>
      <c r="C7" s="15" t="n">
        <v>2656</v>
      </c>
      <c r="D7" s="15" t="n">
        <v>2256</v>
      </c>
      <c r="E7" s="15" t="n">
        <v>2524</v>
      </c>
      <c r="F7" s="16" t="n">
        <v>2539</v>
      </c>
      <c r="G7" s="17" t="n">
        <f aca="false">E7/22</f>
        <v>114.727272727273</v>
      </c>
      <c r="H7" s="22" t="n">
        <v>2539</v>
      </c>
      <c r="I7" s="19" t="n">
        <f aca="false">H7/21</f>
        <v>120.904761904762</v>
      </c>
      <c r="J7" s="19" t="n">
        <v>1977</v>
      </c>
      <c r="K7" s="21" t="n">
        <f aca="false">J7/23</f>
        <v>85.9565217391304</v>
      </c>
    </row>
    <row r="8" s="23" customFormat="true" ht="18" hidden="false" customHeight="true" outlineLevel="0" collapsed="false">
      <c r="A8" s="13" t="s">
        <v>16</v>
      </c>
      <c r="B8" s="14" t="n">
        <v>1464</v>
      </c>
      <c r="C8" s="15" t="n">
        <v>2320</v>
      </c>
      <c r="D8" s="15" t="n">
        <v>1159</v>
      </c>
      <c r="E8" s="15" t="n">
        <v>2265</v>
      </c>
      <c r="F8" s="16"/>
      <c r="G8" s="17" t="n">
        <f aca="false">E8/21</f>
        <v>107.857142857143</v>
      </c>
      <c r="H8" s="22" t="n">
        <v>1924</v>
      </c>
      <c r="I8" s="19" t="n">
        <f aca="false">H8/19</f>
        <v>101.263157894737</v>
      </c>
      <c r="J8" s="19" t="n">
        <v>1785</v>
      </c>
      <c r="K8" s="21" t="n">
        <f aca="false">J8/19</f>
        <v>93.9473684210526</v>
      </c>
    </row>
    <row r="9" s="23" customFormat="true" ht="18" hidden="false" customHeight="true" outlineLevel="0" collapsed="false">
      <c r="A9" s="13" t="s">
        <v>17</v>
      </c>
      <c r="B9" s="14" t="n">
        <v>957</v>
      </c>
      <c r="C9" s="15" t="n">
        <v>1336</v>
      </c>
      <c r="D9" s="15" t="n">
        <v>973</v>
      </c>
      <c r="E9" s="15" t="n">
        <v>1293</v>
      </c>
      <c r="F9" s="16"/>
      <c r="G9" s="17" t="n">
        <f aca="false">E9/16</f>
        <v>80.8125</v>
      </c>
      <c r="H9" s="22" t="n">
        <v>1234</v>
      </c>
      <c r="I9" s="19" t="n">
        <f aca="false">H9/15</f>
        <v>82.2666666666667</v>
      </c>
      <c r="J9" s="19" t="n">
        <v>1057</v>
      </c>
      <c r="K9" s="21" t="n">
        <f aca="false">J9/15</f>
        <v>70.4666666666667</v>
      </c>
    </row>
    <row r="10" s="23" customFormat="true" ht="18" hidden="false" customHeight="true" outlineLevel="0" collapsed="false">
      <c r="A10" s="13" t="s">
        <v>18</v>
      </c>
      <c r="B10" s="14" t="n">
        <v>1557</v>
      </c>
      <c r="C10" s="15" t="n">
        <v>2222</v>
      </c>
      <c r="D10" s="15" t="n">
        <v>1886</v>
      </c>
      <c r="E10" s="15" t="n">
        <v>1917</v>
      </c>
      <c r="F10" s="16"/>
      <c r="G10" s="17" t="n">
        <f aca="false">E10/18</f>
        <v>106.5</v>
      </c>
      <c r="H10" s="22" t="n">
        <v>1916</v>
      </c>
      <c r="I10" s="19" t="n">
        <f aca="false">H10/19</f>
        <v>100.842105263158</v>
      </c>
      <c r="J10" s="19" t="n">
        <v>1654</v>
      </c>
      <c r="K10" s="21" t="n">
        <f aca="false">J10/20</f>
        <v>82.7</v>
      </c>
    </row>
    <row r="11" s="23" customFormat="true" ht="18" hidden="false" customHeight="true" outlineLevel="0" collapsed="false">
      <c r="A11" s="13" t="s">
        <v>19</v>
      </c>
      <c r="B11" s="14" t="n">
        <v>1477</v>
      </c>
      <c r="C11" s="15" t="n">
        <v>1414</v>
      </c>
      <c r="D11" s="15" t="n">
        <v>1331</v>
      </c>
      <c r="E11" s="15" t="n">
        <v>1668</v>
      </c>
      <c r="F11" s="16"/>
      <c r="G11" s="17" t="n">
        <f aca="false">E11/21</f>
        <v>79.4285714285714</v>
      </c>
      <c r="H11" s="22" t="n">
        <v>1459</v>
      </c>
      <c r="I11" s="19" t="n">
        <f aca="false">H11/20</f>
        <v>72.95</v>
      </c>
      <c r="J11" s="21"/>
      <c r="K11" s="2"/>
    </row>
    <row r="12" s="23" customFormat="true" ht="18" hidden="false" customHeight="true" outlineLevel="0" collapsed="false">
      <c r="A12" s="13" t="s">
        <v>20</v>
      </c>
      <c r="B12" s="14" t="n">
        <v>1746</v>
      </c>
      <c r="C12" s="15" t="n">
        <v>2874</v>
      </c>
      <c r="D12" s="15" t="n">
        <v>1685</v>
      </c>
      <c r="E12" s="15" t="n">
        <v>1401</v>
      </c>
      <c r="F12" s="16"/>
      <c r="G12" s="17" t="n">
        <f aca="false">E12/21</f>
        <v>66.7142857142857</v>
      </c>
      <c r="H12" s="22" t="n">
        <v>1643</v>
      </c>
      <c r="I12" s="19" t="n">
        <f aca="false">H12/21</f>
        <v>78.2380952380952</v>
      </c>
      <c r="J12" s="21"/>
      <c r="K12" s="2"/>
    </row>
    <row r="13" s="23" customFormat="true" ht="18" hidden="false" customHeight="true" outlineLevel="0" collapsed="false">
      <c r="A13" s="13" t="s">
        <v>21</v>
      </c>
      <c r="B13" s="14" t="n">
        <v>1457</v>
      </c>
      <c r="C13" s="24" t="n">
        <v>1428</v>
      </c>
      <c r="D13" s="15" t="n">
        <v>1092</v>
      </c>
      <c r="E13" s="15" t="n">
        <v>1426</v>
      </c>
      <c r="F13" s="16"/>
      <c r="G13" s="17" t="n">
        <f aca="false">E13/21</f>
        <v>67.9047619047619</v>
      </c>
      <c r="H13" s="22" t="n">
        <v>1111</v>
      </c>
      <c r="I13" s="19" t="n">
        <f aca="false">H13/21</f>
        <v>52.9047619047619</v>
      </c>
      <c r="J13" s="21"/>
      <c r="K13" s="2"/>
      <c r="L13" s="12"/>
      <c r="M13" s="12"/>
    </row>
    <row r="14" s="23" customFormat="true" ht="18" hidden="false" customHeight="true" outlineLevel="0" collapsed="false">
      <c r="A14" s="13" t="s">
        <v>22</v>
      </c>
      <c r="B14" s="14" t="n">
        <v>1115</v>
      </c>
      <c r="C14" s="15" t="n">
        <v>1326</v>
      </c>
      <c r="D14" s="15" t="n">
        <v>1140</v>
      </c>
      <c r="E14" s="15" t="n">
        <v>1133</v>
      </c>
      <c r="F14" s="16"/>
      <c r="G14" s="17" t="n">
        <f aca="false">E14/18</f>
        <v>62.9444444444444</v>
      </c>
      <c r="H14" s="22" t="n">
        <v>1038</v>
      </c>
      <c r="I14" s="19" t="n">
        <f aca="false">H14/19</f>
        <v>54.6315789473684</v>
      </c>
      <c r="J14" s="21"/>
      <c r="K14" s="2"/>
    </row>
    <row r="15" s="23" customFormat="true" ht="18" hidden="false" customHeight="true" outlineLevel="0" collapsed="false">
      <c r="A15" s="13" t="s">
        <v>23</v>
      </c>
      <c r="B15" s="14" t="n">
        <v>737</v>
      </c>
      <c r="C15" s="15" t="n">
        <v>1250</v>
      </c>
      <c r="D15" s="15" t="n">
        <v>1133</v>
      </c>
      <c r="E15" s="15" t="n">
        <v>950</v>
      </c>
      <c r="F15" s="16"/>
      <c r="G15" s="17" t="n">
        <f aca="false">E15/20</f>
        <v>47.5</v>
      </c>
      <c r="H15" s="25" t="n">
        <v>270</v>
      </c>
      <c r="I15" s="26"/>
      <c r="J15" s="26"/>
      <c r="K15" s="27"/>
    </row>
    <row r="16" s="23" customFormat="true" ht="21.75" hidden="false" customHeight="true" outlineLevel="0" collapsed="false">
      <c r="A16" s="13" t="s">
        <v>24</v>
      </c>
      <c r="B16" s="14" t="s">
        <v>13</v>
      </c>
      <c r="C16" s="15" t="n">
        <v>428</v>
      </c>
      <c r="D16" s="15" t="n">
        <v>471</v>
      </c>
      <c r="E16" s="15" t="n">
        <v>570</v>
      </c>
      <c r="F16" s="16"/>
      <c r="G16" s="17" t="n">
        <f aca="false">E16/10</f>
        <v>57</v>
      </c>
      <c r="H16" s="17"/>
      <c r="I16" s="17"/>
      <c r="J16" s="28"/>
      <c r="K16" s="29"/>
    </row>
    <row r="17" customFormat="false" ht="16.4" hidden="false" customHeight="false" outlineLevel="0" collapsed="false">
      <c r="A17" s="30" t="s">
        <v>25</v>
      </c>
      <c r="B17" s="31" t="n">
        <f aca="false">SUM(B5:B16)</f>
        <v>16577</v>
      </c>
      <c r="C17" s="31" t="n">
        <f aca="false">SUM(C5:C16)</f>
        <v>20077</v>
      </c>
      <c r="D17" s="31" t="n">
        <f aca="false">SUM(D5:D16)</f>
        <v>16427</v>
      </c>
      <c r="E17" s="31" t="n">
        <f aca="false">SUM(E5:E16)</f>
        <v>19182</v>
      </c>
      <c r="F17" s="31" t="n">
        <f aca="false">SUM(F5:F16)</f>
        <v>5936</v>
      </c>
      <c r="G17" s="32"/>
      <c r="H17" s="33" t="n">
        <f aca="false">H5+H6+H7+H8+H9+H10+H11+H12+H13+H14+H15+H16</f>
        <v>16531</v>
      </c>
      <c r="I17" s="32"/>
      <c r="J17" s="34" t="n">
        <f aca="false">SUM(J5:J16)</f>
        <v>10143</v>
      </c>
      <c r="K17" s="35"/>
    </row>
    <row r="18" customFormat="false" ht="14.25" hidden="false" customHeight="false" outlineLevel="0" collapsed="false">
      <c r="A18" s="36"/>
      <c r="B18" s="37"/>
      <c r="C18" s="37"/>
      <c r="D18" s="37"/>
      <c r="E18" s="37"/>
      <c r="F18" s="37"/>
      <c r="G18" s="23"/>
      <c r="H18" s="23"/>
      <c r="I18" s="23"/>
      <c r="J18" s="23"/>
      <c r="K18" s="23"/>
    </row>
    <row r="19" customFormat="false" ht="34.5" hidden="false" customHeight="true" outlineLevel="0" collapsed="false">
      <c r="A19" s="38"/>
      <c r="B19" s="38"/>
      <c r="C19" s="38"/>
      <c r="D19" s="38"/>
      <c r="E19" s="38"/>
      <c r="F19" s="38"/>
      <c r="G19" s="38"/>
      <c r="H19" s="39"/>
      <c r="I19" s="39"/>
      <c r="J19" s="40"/>
      <c r="K19" s="40"/>
    </row>
    <row r="20" customFormat="false" ht="14.25" hidden="false" customHeight="false" outlineLevel="0" collapsed="false">
      <c r="B20" s="41"/>
    </row>
    <row r="21" customFormat="false" ht="14.25" hidden="false" customHeight="false" outlineLevel="0" collapsed="false">
      <c r="A21" s="39"/>
      <c r="B21" s="42"/>
    </row>
    <row r="22" customFormat="false" ht="14.25" hidden="false" customHeight="false" outlineLevel="0" collapsed="false">
      <c r="A22" s="39"/>
      <c r="B22" s="42"/>
    </row>
    <row r="23" customFormat="false" ht="14.25" hidden="false" customHeight="false" outlineLevel="0" collapsed="false">
      <c r="B23" s="41"/>
    </row>
    <row r="24" customFormat="false" ht="14.25" hidden="false" customHeight="false" outlineLevel="0" collapsed="false">
      <c r="B24" s="41"/>
    </row>
    <row r="25" customFormat="false" ht="14.25" hidden="false" customHeight="false" outlineLevel="0" collapsed="false">
      <c r="B25" s="41"/>
    </row>
    <row r="26" customFormat="false" ht="14.25" hidden="false" customHeight="false" outlineLevel="0" collapsed="false">
      <c r="B26" s="41"/>
    </row>
    <row r="27" customFormat="false" ht="14.25" hidden="false" customHeight="false" outlineLevel="0" collapsed="false">
      <c r="B27" s="41"/>
    </row>
    <row r="28" customFormat="false" ht="14.25" hidden="false" customHeight="false" outlineLevel="0" collapsed="false">
      <c r="B28" s="41"/>
    </row>
    <row r="36" customFormat="false" ht="14.25" hidden="false" customHeight="false" outlineLevel="0" collapsed="false">
      <c r="A36" s="2"/>
      <c r="B36" s="2"/>
      <c r="J36" s="2"/>
      <c r="K36" s="2"/>
    </row>
    <row r="37" customFormat="false" ht="14.25" hidden="false" customHeight="false" outlineLevel="0" collapsed="false">
      <c r="A37" s="2"/>
      <c r="B37" s="2"/>
      <c r="J37" s="2"/>
      <c r="K37" s="2"/>
    </row>
    <row r="38" customFormat="false" ht="14.25" hidden="false" customHeight="false" outlineLevel="0" collapsed="false">
      <c r="A38" s="2"/>
      <c r="B38" s="2"/>
      <c r="J38" s="2"/>
      <c r="K38" s="2"/>
    </row>
    <row r="39" customFormat="false" ht="14.25" hidden="false" customHeight="false" outlineLevel="0" collapsed="false">
      <c r="A39" s="2"/>
      <c r="B39" s="2"/>
      <c r="J39" s="2"/>
      <c r="K39" s="2"/>
    </row>
    <row r="40" customFormat="false" ht="14.25" hidden="false" customHeight="false" outlineLevel="0" collapsed="false">
      <c r="A40" s="2"/>
      <c r="B40" s="2"/>
      <c r="J40" s="2"/>
      <c r="K40" s="2"/>
    </row>
    <row r="69" customFormat="false" ht="14.25" hidden="false" customHeight="false" outlineLevel="0" collapsed="false">
      <c r="C69" s="43"/>
      <c r="E69" s="43"/>
    </row>
    <row r="70" customFormat="false" ht="14.25" hidden="false" customHeight="false" outlineLevel="0" collapsed="false">
      <c r="C70" s="43"/>
      <c r="E70" s="43"/>
    </row>
    <row r="75" customFormat="false" ht="14.25" hidden="false" customHeight="false" outlineLevel="0" collapsed="false">
      <c r="A75" s="2"/>
      <c r="B75" s="2"/>
    </row>
    <row r="76" customFormat="false" ht="14.25" hidden="false" customHeight="false" outlineLevel="0" collapsed="false">
      <c r="A76" s="2"/>
      <c r="B76" s="2"/>
    </row>
    <row r="77" customFormat="false" ht="14.25" hidden="false" customHeight="false" outlineLevel="0" collapsed="false">
      <c r="A77" s="2"/>
      <c r="B77" s="2"/>
    </row>
    <row r="78" customFormat="false" ht="14.25" hidden="false" customHeight="false" outlineLevel="0" collapsed="false">
      <c r="A78" s="2"/>
      <c r="B78" s="2"/>
    </row>
    <row r="79" customFormat="false" ht="14.25" hidden="false" customHeight="false" outlineLevel="0" collapsed="false">
      <c r="A79" s="2"/>
      <c r="B79" s="2"/>
    </row>
    <row r="80" customFormat="false" ht="14.25" hidden="false" customHeight="false" outlineLevel="0" collapsed="false">
      <c r="A80" s="2"/>
      <c r="B80" s="2"/>
    </row>
    <row r="81" customFormat="false" ht="14.25" hidden="false" customHeight="false" outlineLevel="0" collapsed="false">
      <c r="A81" s="2"/>
      <c r="B81" s="2"/>
    </row>
    <row r="82" customFormat="false" ht="29.25" hidden="false" customHeight="true" outlineLevel="0" collapsed="false">
      <c r="A82" s="2"/>
      <c r="B82" s="2"/>
    </row>
    <row r="83" customFormat="false" ht="36" hidden="false" customHeight="true" outlineLevel="0" collapsed="false">
      <c r="A83" s="2"/>
      <c r="B83" s="2"/>
    </row>
    <row r="84" customFormat="false" ht="14.25" hidden="false" customHeight="false" outlineLevel="0" collapsed="false">
      <c r="A84" s="2"/>
      <c r="B84" s="2"/>
    </row>
    <row r="85" customFormat="false" ht="14.25" hidden="false" customHeight="false" outlineLevel="0" collapsed="false">
      <c r="A85" s="2"/>
      <c r="B85" s="2"/>
    </row>
  </sheetData>
  <mergeCells count="1">
    <mergeCell ref="A19:G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9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7" man="true" max="16383" min="0"/>
  </rowBreak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3616775794E1468D9253DAFEC0ACFA" ma:contentTypeVersion="10" ma:contentTypeDescription="Crée un document." ma:contentTypeScope="" ma:versionID="3ed56c01a313b88c7cffc7d7637c429a">
  <xsd:schema xmlns:xsd="http://www.w3.org/2001/XMLSchema" xmlns:xs="http://www.w3.org/2001/XMLSchema" xmlns:p="http://schemas.microsoft.com/office/2006/metadata/properties" xmlns:ns2="396d7223-88cf-4fc7-a305-b77b6c8652d6" xmlns:ns3="cf9bc81c-350d-4f73-af91-937f68a9fcf1" targetNamespace="http://schemas.microsoft.com/office/2006/metadata/properties" ma:root="true" ma:fieldsID="96f10b89d03b898dd24a0e020062f74d" ns2:_="" ns3:_="">
    <xsd:import namespace="396d7223-88cf-4fc7-a305-b77b6c8652d6"/>
    <xsd:import namespace="cf9bc81c-350d-4f73-af91-937f68a9fc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d7223-88cf-4fc7-a305-b77b6c865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5b653c1-67c0-47ee-9f90-5adcbc6bc1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bc81c-350d-4f73-af91-937f68a9fc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f995f07-59da-4b14-a5f4-4b87b4001703}" ma:internalName="TaxCatchAll" ma:showField="CatchAllData" ma:web="cf9bc81c-350d-4f73-af91-937f68a9fc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9bc81c-350d-4f73-af91-937f68a9fcf1" xsi:nil="true"/>
    <lcf76f155ced4ddcb4097134ff3c332f xmlns="396d7223-88cf-4fc7-a305-b77b6c8652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3A7FE4-5FBD-42EE-BBF5-945A22450D26}"/>
</file>

<file path=customXml/itemProps2.xml><?xml version="1.0" encoding="utf-8"?>
<ds:datastoreItem xmlns:ds="http://schemas.openxmlformats.org/officeDocument/2006/customXml" ds:itemID="{1483D174-EECE-4DA8-9E68-44622330A9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0448DC-7F4F-4FBB-9D12-A21C4B9005E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2021-06-21T06:09:24Z</dcterms:created>
  <dc:creator>s.foulon</dc:creator>
  <dc:description/>
  <dc:language>en-US</dc:language>
  <cp:lastModifiedBy/>
  <dcterms:modified xsi:type="dcterms:W3CDTF">2026-05-07T15:45:38Z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0x010100373616775794E1468D9253DAFEC0ACFA</vt:lpwstr>
  </property>
</Properties>
</file>